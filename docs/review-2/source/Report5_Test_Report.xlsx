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7560" windowHeight="14420" tabRatio="821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F-01" sheetId="4" state="visible" r:id="rId4"/>
    <sheet xmlns:r="http://schemas.openxmlformats.org/officeDocument/2006/relationships" name="F-02" sheetId="5" state="visible" r:id="rId5"/>
    <sheet xmlns:r="http://schemas.openxmlformats.org/officeDocument/2006/relationships" name="F-03" sheetId="6" state="visible" r:id="rId6"/>
    <sheet xmlns:r="http://schemas.openxmlformats.org/officeDocument/2006/relationships" name="F-04" sheetId="7" state="visible" r:id="rId7"/>
    <sheet xmlns:r="http://schemas.openxmlformats.org/officeDocument/2006/relationships" name="F-05" sheetId="8" state="visible" r:id="rId8"/>
    <sheet xmlns:r="http://schemas.openxmlformats.org/officeDocument/2006/relationships" name="F-06" sheetId="9" state="visible" r:id="rId9"/>
    <sheet xmlns:r="http://schemas.openxmlformats.org/officeDocument/2006/relationships" name="F-07" sheetId="10" state="visible" r:id="rId10"/>
    <sheet xmlns:r="http://schemas.openxmlformats.org/officeDocument/2006/relationships" name="F-08" sheetId="11" state="visible" r:id="rId11"/>
    <sheet xmlns:r="http://schemas.openxmlformats.org/officeDocument/2006/relationships" name="F-09" sheetId="12" state="visible" r:id="rId12"/>
    <sheet xmlns:r="http://schemas.openxmlformats.org/officeDocument/2006/relationships" name="F-10" sheetId="13" state="visible" r:id="rId13"/>
    <sheet xmlns:r="http://schemas.openxmlformats.org/officeDocument/2006/relationships" name="WF" sheetId="14" state="visible" r:id="rId14"/>
    <sheet xmlns:r="http://schemas.openxmlformats.org/officeDocument/2006/relationships" name="ST" sheetId="15" state="visible" r:id="rId15"/>
    <sheet xmlns:r="http://schemas.openxmlformats.org/officeDocument/2006/relationships" name="NFR" sheetId="16" state="visible" r:id="rId16"/>
  </sheets>
  <externalReferences>
    <externalReference xmlns:r="http://schemas.openxmlformats.org/officeDocument/2006/relationships" r:id="rId17"/>
  </externalReferences>
  <definedNames>
    <definedName name="ACTION">#REF!</definedName>
    <definedName name="ACTION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\-mmm\-yy;@"/>
  </numFmts>
  <fonts count="24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58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2" fillId="2" borderId="0" pivotButton="0" quotePrefix="0" xfId="0"/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2" fillId="2" borderId="1" pivotButton="0" quotePrefix="0" xfId="0"/>
    <xf numFmtId="0" fontId="13" fillId="2" borderId="0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0" pivotButton="0" quotePrefix="0" xfId="0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5" pivotButton="0" quotePrefix="0" xfId="0"/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3" fillId="0" borderId="13" applyAlignment="1" pivotButton="0" quotePrefix="0" xfId="5">
      <alignment horizontal="center" vertical="center"/>
    </xf>
    <xf numFmtId="0" fontId="4" fillId="0" borderId="1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1" fillId="0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0" fillId="0" borderId="14" pivotButton="0" quotePrefix="0" xfId="0"/>
    <xf numFmtId="0" fontId="0" fillId="0" borderId="2" pivotButton="0" quotePrefix="0" xfId="0"/>
    <xf numFmtId="0" fontId="21" fillId="0" borderId="1" applyAlignment="1" pivotButton="0" quotePrefix="0" xfId="5">
      <alignment horizontal="left" vertical="center"/>
    </xf>
    <xf numFmtId="0" fontId="11" fillId="2" borderId="7" applyAlignment="1" pivotButton="0" quotePrefix="0" xfId="1">
      <alignment vertical="top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externalLink" Target="/xl/externalLinks/externalLink1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1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1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14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88900</rowOff>
    </from>
    <to>
      <col>0</col>
      <colOff>2133600</colOff>
      <row>1</row>
      <rowOff>787400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54000"/>
          <a:ext cx="2133600" cy="698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Report5_Unit%20Tes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17"/>
  <sheetViews>
    <sheetView showGridLines="0" tabSelected="1" workbookViewId="0">
      <selection activeCell="B3" sqref="B3"/>
    </sheetView>
  </sheetViews>
  <sheetFormatPr baseColWidth="10" defaultColWidth="9" defaultRowHeight="13"/>
  <cols>
    <col width="28.1640625" customWidth="1" style="149" min="1" max="1"/>
    <col width="10" customWidth="1" style="118" min="2" max="2"/>
    <col width="14.33203125" customWidth="1" style="118" min="3" max="3"/>
    <col width="8" customWidth="1" style="118" min="4" max="4"/>
    <col width="38" customWidth="1" style="118" min="5" max="5"/>
    <col width="48.1640625" customWidth="1" style="118" min="6" max="6"/>
    <col width="9" customWidth="1" style="118" min="7" max="256"/>
    <col width="28.1640625" customWidth="1" style="118" min="257" max="257"/>
    <col width="10" customWidth="1" style="118" min="258" max="258"/>
    <col width="14.33203125" customWidth="1" style="118" min="259" max="259"/>
    <col width="8" customWidth="1" style="118" min="260" max="260"/>
    <col width="38" customWidth="1" style="118" min="261" max="261"/>
    <col width="48.1640625" customWidth="1" style="118" min="262" max="262"/>
    <col width="9" customWidth="1" style="118" min="263" max="512"/>
    <col width="28.1640625" customWidth="1" style="118" min="513" max="513"/>
    <col width="10" customWidth="1" style="118" min="514" max="514"/>
    <col width="14.33203125" customWidth="1" style="118" min="515" max="515"/>
    <col width="8" customWidth="1" style="118" min="516" max="516"/>
    <col width="38" customWidth="1" style="118" min="517" max="517"/>
    <col width="48.1640625" customWidth="1" style="118" min="518" max="518"/>
    <col width="9" customWidth="1" style="118" min="519" max="768"/>
    <col width="28.1640625" customWidth="1" style="118" min="769" max="769"/>
    <col width="10" customWidth="1" style="118" min="770" max="770"/>
    <col width="14.33203125" customWidth="1" style="118" min="771" max="771"/>
    <col width="8" customWidth="1" style="118" min="772" max="772"/>
    <col width="38" customWidth="1" style="118" min="773" max="773"/>
    <col width="48.1640625" customWidth="1" style="118" min="774" max="774"/>
    <col width="9" customWidth="1" style="118" min="775" max="1024"/>
    <col width="28.1640625" customWidth="1" style="118" min="1025" max="1025"/>
    <col width="10" customWidth="1" style="118" min="1026" max="1026"/>
    <col width="14.33203125" customWidth="1" style="118" min="1027" max="1027"/>
    <col width="8" customWidth="1" style="118" min="1028" max="1028"/>
    <col width="38" customWidth="1" style="118" min="1029" max="1029"/>
    <col width="48.1640625" customWidth="1" style="118" min="1030" max="1030"/>
    <col width="9" customWidth="1" style="118" min="1031" max="1280"/>
    <col width="28.1640625" customWidth="1" style="118" min="1281" max="1281"/>
    <col width="10" customWidth="1" style="118" min="1282" max="1282"/>
    <col width="14.33203125" customWidth="1" style="118" min="1283" max="1283"/>
    <col width="8" customWidth="1" style="118" min="1284" max="1284"/>
    <col width="38" customWidth="1" style="118" min="1285" max="1285"/>
    <col width="48.1640625" customWidth="1" style="118" min="1286" max="1286"/>
    <col width="9" customWidth="1" style="118" min="1287" max="1536"/>
    <col width="28.1640625" customWidth="1" style="118" min="1537" max="1537"/>
    <col width="10" customWidth="1" style="118" min="1538" max="1538"/>
    <col width="14.33203125" customWidth="1" style="118" min="1539" max="1539"/>
    <col width="8" customWidth="1" style="118" min="1540" max="1540"/>
    <col width="38" customWidth="1" style="118" min="1541" max="1541"/>
    <col width="48.1640625" customWidth="1" style="118" min="1542" max="1542"/>
    <col width="9" customWidth="1" style="118" min="1543" max="1792"/>
    <col width="28.1640625" customWidth="1" style="118" min="1793" max="1793"/>
    <col width="10" customWidth="1" style="118" min="1794" max="1794"/>
    <col width="14.33203125" customWidth="1" style="118" min="1795" max="1795"/>
    <col width="8" customWidth="1" style="118" min="1796" max="1796"/>
    <col width="38" customWidth="1" style="118" min="1797" max="1797"/>
    <col width="48.1640625" customWidth="1" style="118" min="1798" max="1798"/>
    <col width="9" customWidth="1" style="118" min="1799" max="2048"/>
    <col width="28.1640625" customWidth="1" style="118" min="2049" max="2049"/>
    <col width="10" customWidth="1" style="118" min="2050" max="2050"/>
    <col width="14.33203125" customWidth="1" style="118" min="2051" max="2051"/>
    <col width="8" customWidth="1" style="118" min="2052" max="2052"/>
    <col width="38" customWidth="1" style="118" min="2053" max="2053"/>
    <col width="48.1640625" customWidth="1" style="118" min="2054" max="2054"/>
    <col width="9" customWidth="1" style="118" min="2055" max="2304"/>
    <col width="28.1640625" customWidth="1" style="118" min="2305" max="2305"/>
    <col width="10" customWidth="1" style="118" min="2306" max="2306"/>
    <col width="14.33203125" customWidth="1" style="118" min="2307" max="2307"/>
    <col width="8" customWidth="1" style="118" min="2308" max="2308"/>
    <col width="38" customWidth="1" style="118" min="2309" max="2309"/>
    <col width="48.1640625" customWidth="1" style="118" min="2310" max="2310"/>
    <col width="9" customWidth="1" style="118" min="2311" max="2560"/>
    <col width="28.1640625" customWidth="1" style="118" min="2561" max="2561"/>
    <col width="10" customWidth="1" style="118" min="2562" max="2562"/>
    <col width="14.33203125" customWidth="1" style="118" min="2563" max="2563"/>
    <col width="8" customWidth="1" style="118" min="2564" max="2564"/>
    <col width="38" customWidth="1" style="118" min="2565" max="2565"/>
    <col width="48.1640625" customWidth="1" style="118" min="2566" max="2566"/>
    <col width="9" customWidth="1" style="118" min="2567" max="2816"/>
    <col width="28.1640625" customWidth="1" style="118" min="2817" max="2817"/>
    <col width="10" customWidth="1" style="118" min="2818" max="2818"/>
    <col width="14.33203125" customWidth="1" style="118" min="2819" max="2819"/>
    <col width="8" customWidth="1" style="118" min="2820" max="2820"/>
    <col width="38" customWidth="1" style="118" min="2821" max="2821"/>
    <col width="48.1640625" customWidth="1" style="118" min="2822" max="2822"/>
    <col width="9" customWidth="1" style="118" min="2823" max="3072"/>
    <col width="28.1640625" customWidth="1" style="118" min="3073" max="3073"/>
    <col width="10" customWidth="1" style="118" min="3074" max="3074"/>
    <col width="14.33203125" customWidth="1" style="118" min="3075" max="3075"/>
    <col width="8" customWidth="1" style="118" min="3076" max="3076"/>
    <col width="38" customWidth="1" style="118" min="3077" max="3077"/>
    <col width="48.1640625" customWidth="1" style="118" min="3078" max="3078"/>
    <col width="9" customWidth="1" style="118" min="3079" max="3328"/>
    <col width="28.1640625" customWidth="1" style="118" min="3329" max="3329"/>
    <col width="10" customWidth="1" style="118" min="3330" max="3330"/>
    <col width="14.33203125" customWidth="1" style="118" min="3331" max="3331"/>
    <col width="8" customWidth="1" style="118" min="3332" max="3332"/>
    <col width="38" customWidth="1" style="118" min="3333" max="3333"/>
    <col width="48.1640625" customWidth="1" style="118" min="3334" max="3334"/>
    <col width="9" customWidth="1" style="118" min="3335" max="3584"/>
    <col width="28.1640625" customWidth="1" style="118" min="3585" max="3585"/>
    <col width="10" customWidth="1" style="118" min="3586" max="3586"/>
    <col width="14.33203125" customWidth="1" style="118" min="3587" max="3587"/>
    <col width="8" customWidth="1" style="118" min="3588" max="3588"/>
    <col width="38" customWidth="1" style="118" min="3589" max="3589"/>
    <col width="48.1640625" customWidth="1" style="118" min="3590" max="3590"/>
    <col width="9" customWidth="1" style="118" min="3591" max="3840"/>
    <col width="28.1640625" customWidth="1" style="118" min="3841" max="3841"/>
    <col width="10" customWidth="1" style="118" min="3842" max="3842"/>
    <col width="14.33203125" customWidth="1" style="118" min="3843" max="3843"/>
    <col width="8" customWidth="1" style="118" min="3844" max="3844"/>
    <col width="38" customWidth="1" style="118" min="3845" max="3845"/>
    <col width="48.1640625" customWidth="1" style="118" min="3846" max="3846"/>
    <col width="9" customWidth="1" style="118" min="3847" max="4096"/>
    <col width="28.1640625" customWidth="1" style="118" min="4097" max="4097"/>
    <col width="10" customWidth="1" style="118" min="4098" max="4098"/>
    <col width="14.33203125" customWidth="1" style="118" min="4099" max="4099"/>
    <col width="8" customWidth="1" style="118" min="4100" max="4100"/>
    <col width="38" customWidth="1" style="118" min="4101" max="4101"/>
    <col width="48.1640625" customWidth="1" style="118" min="4102" max="4102"/>
    <col width="9" customWidth="1" style="118" min="4103" max="4352"/>
    <col width="28.1640625" customWidth="1" style="118" min="4353" max="4353"/>
    <col width="10" customWidth="1" style="118" min="4354" max="4354"/>
    <col width="14.33203125" customWidth="1" style="118" min="4355" max="4355"/>
    <col width="8" customWidth="1" style="118" min="4356" max="4356"/>
    <col width="38" customWidth="1" style="118" min="4357" max="4357"/>
    <col width="48.1640625" customWidth="1" style="118" min="4358" max="4358"/>
    <col width="9" customWidth="1" style="118" min="4359" max="4608"/>
    <col width="28.1640625" customWidth="1" style="118" min="4609" max="4609"/>
    <col width="10" customWidth="1" style="118" min="4610" max="4610"/>
    <col width="14.33203125" customWidth="1" style="118" min="4611" max="4611"/>
    <col width="8" customWidth="1" style="118" min="4612" max="4612"/>
    <col width="38" customWidth="1" style="118" min="4613" max="4613"/>
    <col width="48.1640625" customWidth="1" style="118" min="4614" max="4614"/>
    <col width="9" customWidth="1" style="118" min="4615" max="4864"/>
    <col width="28.1640625" customWidth="1" style="118" min="4865" max="4865"/>
    <col width="10" customWidth="1" style="118" min="4866" max="4866"/>
    <col width="14.33203125" customWidth="1" style="118" min="4867" max="4867"/>
    <col width="8" customWidth="1" style="118" min="4868" max="4868"/>
    <col width="38" customWidth="1" style="118" min="4869" max="4869"/>
    <col width="48.1640625" customWidth="1" style="118" min="4870" max="4870"/>
    <col width="9" customWidth="1" style="118" min="4871" max="5120"/>
    <col width="28.1640625" customWidth="1" style="118" min="5121" max="5121"/>
    <col width="10" customWidth="1" style="118" min="5122" max="5122"/>
    <col width="14.33203125" customWidth="1" style="118" min="5123" max="5123"/>
    <col width="8" customWidth="1" style="118" min="5124" max="5124"/>
    <col width="38" customWidth="1" style="118" min="5125" max="5125"/>
    <col width="48.1640625" customWidth="1" style="118" min="5126" max="5126"/>
    <col width="9" customWidth="1" style="118" min="5127" max="5376"/>
    <col width="28.1640625" customWidth="1" style="118" min="5377" max="5377"/>
    <col width="10" customWidth="1" style="118" min="5378" max="5378"/>
    <col width="14.33203125" customWidth="1" style="118" min="5379" max="5379"/>
    <col width="8" customWidth="1" style="118" min="5380" max="5380"/>
    <col width="38" customWidth="1" style="118" min="5381" max="5381"/>
    <col width="48.1640625" customWidth="1" style="118" min="5382" max="5382"/>
    <col width="9" customWidth="1" style="118" min="5383" max="5632"/>
    <col width="28.1640625" customWidth="1" style="118" min="5633" max="5633"/>
    <col width="10" customWidth="1" style="118" min="5634" max="5634"/>
    <col width="14.33203125" customWidth="1" style="118" min="5635" max="5635"/>
    <col width="8" customWidth="1" style="118" min="5636" max="5636"/>
    <col width="38" customWidth="1" style="118" min="5637" max="5637"/>
    <col width="48.1640625" customWidth="1" style="118" min="5638" max="5638"/>
    <col width="9" customWidth="1" style="118" min="5639" max="5888"/>
    <col width="28.1640625" customWidth="1" style="118" min="5889" max="5889"/>
    <col width="10" customWidth="1" style="118" min="5890" max="5890"/>
    <col width="14.33203125" customWidth="1" style="118" min="5891" max="5891"/>
    <col width="8" customWidth="1" style="118" min="5892" max="5892"/>
    <col width="38" customWidth="1" style="118" min="5893" max="5893"/>
    <col width="48.1640625" customWidth="1" style="118" min="5894" max="5894"/>
    <col width="9" customWidth="1" style="118" min="5895" max="6144"/>
    <col width="28.1640625" customWidth="1" style="118" min="6145" max="6145"/>
    <col width="10" customWidth="1" style="118" min="6146" max="6146"/>
    <col width="14.33203125" customWidth="1" style="118" min="6147" max="6147"/>
    <col width="8" customWidth="1" style="118" min="6148" max="6148"/>
    <col width="38" customWidth="1" style="118" min="6149" max="6149"/>
    <col width="48.1640625" customWidth="1" style="118" min="6150" max="6150"/>
    <col width="9" customWidth="1" style="118" min="6151" max="6400"/>
    <col width="28.1640625" customWidth="1" style="118" min="6401" max="6401"/>
    <col width="10" customWidth="1" style="118" min="6402" max="6402"/>
    <col width="14.33203125" customWidth="1" style="118" min="6403" max="6403"/>
    <col width="8" customWidth="1" style="118" min="6404" max="6404"/>
    <col width="38" customWidth="1" style="118" min="6405" max="6405"/>
    <col width="48.1640625" customWidth="1" style="118" min="6406" max="6406"/>
    <col width="9" customWidth="1" style="118" min="6407" max="6656"/>
    <col width="28.1640625" customWidth="1" style="118" min="6657" max="6657"/>
    <col width="10" customWidth="1" style="118" min="6658" max="6658"/>
    <col width="14.33203125" customWidth="1" style="118" min="6659" max="6659"/>
    <col width="8" customWidth="1" style="118" min="6660" max="6660"/>
    <col width="38" customWidth="1" style="118" min="6661" max="6661"/>
    <col width="48.1640625" customWidth="1" style="118" min="6662" max="6662"/>
    <col width="9" customWidth="1" style="118" min="6663" max="6912"/>
    <col width="28.1640625" customWidth="1" style="118" min="6913" max="6913"/>
    <col width="10" customWidth="1" style="118" min="6914" max="6914"/>
    <col width="14.33203125" customWidth="1" style="118" min="6915" max="6915"/>
    <col width="8" customWidth="1" style="118" min="6916" max="6916"/>
    <col width="38" customWidth="1" style="118" min="6917" max="6917"/>
    <col width="48.1640625" customWidth="1" style="118" min="6918" max="6918"/>
    <col width="9" customWidth="1" style="118" min="6919" max="7168"/>
    <col width="28.1640625" customWidth="1" style="118" min="7169" max="7169"/>
    <col width="10" customWidth="1" style="118" min="7170" max="7170"/>
    <col width="14.33203125" customWidth="1" style="118" min="7171" max="7171"/>
    <col width="8" customWidth="1" style="118" min="7172" max="7172"/>
    <col width="38" customWidth="1" style="118" min="7173" max="7173"/>
    <col width="48.1640625" customWidth="1" style="118" min="7174" max="7174"/>
    <col width="9" customWidth="1" style="118" min="7175" max="7424"/>
    <col width="28.1640625" customWidth="1" style="118" min="7425" max="7425"/>
    <col width="10" customWidth="1" style="118" min="7426" max="7426"/>
    <col width="14.33203125" customWidth="1" style="118" min="7427" max="7427"/>
    <col width="8" customWidth="1" style="118" min="7428" max="7428"/>
    <col width="38" customWidth="1" style="118" min="7429" max="7429"/>
    <col width="48.1640625" customWidth="1" style="118" min="7430" max="7430"/>
    <col width="9" customWidth="1" style="118" min="7431" max="7680"/>
    <col width="28.1640625" customWidth="1" style="118" min="7681" max="7681"/>
    <col width="10" customWidth="1" style="118" min="7682" max="7682"/>
    <col width="14.33203125" customWidth="1" style="118" min="7683" max="7683"/>
    <col width="8" customWidth="1" style="118" min="7684" max="7684"/>
    <col width="38" customWidth="1" style="118" min="7685" max="7685"/>
    <col width="48.1640625" customWidth="1" style="118" min="7686" max="7686"/>
    <col width="9" customWidth="1" style="118" min="7687" max="7936"/>
    <col width="28.1640625" customWidth="1" style="118" min="7937" max="7937"/>
    <col width="10" customWidth="1" style="118" min="7938" max="7938"/>
    <col width="14.33203125" customWidth="1" style="118" min="7939" max="7939"/>
    <col width="8" customWidth="1" style="118" min="7940" max="7940"/>
    <col width="38" customWidth="1" style="118" min="7941" max="7941"/>
    <col width="48.1640625" customWidth="1" style="118" min="7942" max="7942"/>
    <col width="9" customWidth="1" style="118" min="7943" max="8192"/>
    <col width="28.1640625" customWidth="1" style="118" min="8193" max="8193"/>
    <col width="10" customWidth="1" style="118" min="8194" max="8194"/>
    <col width="14.33203125" customWidth="1" style="118" min="8195" max="8195"/>
    <col width="8" customWidth="1" style="118" min="8196" max="8196"/>
    <col width="38" customWidth="1" style="118" min="8197" max="8197"/>
    <col width="48.1640625" customWidth="1" style="118" min="8198" max="8198"/>
    <col width="9" customWidth="1" style="118" min="8199" max="8448"/>
    <col width="28.1640625" customWidth="1" style="118" min="8449" max="8449"/>
    <col width="10" customWidth="1" style="118" min="8450" max="8450"/>
    <col width="14.33203125" customWidth="1" style="118" min="8451" max="8451"/>
    <col width="8" customWidth="1" style="118" min="8452" max="8452"/>
    <col width="38" customWidth="1" style="118" min="8453" max="8453"/>
    <col width="48.1640625" customWidth="1" style="118" min="8454" max="8454"/>
    <col width="9" customWidth="1" style="118" min="8455" max="8704"/>
    <col width="28.1640625" customWidth="1" style="118" min="8705" max="8705"/>
    <col width="10" customWidth="1" style="118" min="8706" max="8706"/>
    <col width="14.33203125" customWidth="1" style="118" min="8707" max="8707"/>
    <col width="8" customWidth="1" style="118" min="8708" max="8708"/>
    <col width="38" customWidth="1" style="118" min="8709" max="8709"/>
    <col width="48.1640625" customWidth="1" style="118" min="8710" max="8710"/>
    <col width="9" customWidth="1" style="118" min="8711" max="8960"/>
    <col width="28.1640625" customWidth="1" style="118" min="8961" max="8961"/>
    <col width="10" customWidth="1" style="118" min="8962" max="8962"/>
    <col width="14.33203125" customWidth="1" style="118" min="8963" max="8963"/>
    <col width="8" customWidth="1" style="118" min="8964" max="8964"/>
    <col width="38" customWidth="1" style="118" min="8965" max="8965"/>
    <col width="48.1640625" customWidth="1" style="118" min="8966" max="8966"/>
    <col width="9" customWidth="1" style="118" min="8967" max="9216"/>
    <col width="28.1640625" customWidth="1" style="118" min="9217" max="9217"/>
    <col width="10" customWidth="1" style="118" min="9218" max="9218"/>
    <col width="14.33203125" customWidth="1" style="118" min="9219" max="9219"/>
    <col width="8" customWidth="1" style="118" min="9220" max="9220"/>
    <col width="38" customWidth="1" style="118" min="9221" max="9221"/>
    <col width="48.1640625" customWidth="1" style="118" min="9222" max="9222"/>
    <col width="9" customWidth="1" style="118" min="9223" max="9472"/>
    <col width="28.1640625" customWidth="1" style="118" min="9473" max="9473"/>
    <col width="10" customWidth="1" style="118" min="9474" max="9474"/>
    <col width="14.33203125" customWidth="1" style="118" min="9475" max="9475"/>
    <col width="8" customWidth="1" style="118" min="9476" max="9476"/>
    <col width="38" customWidth="1" style="118" min="9477" max="9477"/>
    <col width="48.1640625" customWidth="1" style="118" min="9478" max="9478"/>
    <col width="9" customWidth="1" style="118" min="9479" max="9728"/>
    <col width="28.1640625" customWidth="1" style="118" min="9729" max="9729"/>
    <col width="10" customWidth="1" style="118" min="9730" max="9730"/>
    <col width="14.33203125" customWidth="1" style="118" min="9731" max="9731"/>
    <col width="8" customWidth="1" style="118" min="9732" max="9732"/>
    <col width="38" customWidth="1" style="118" min="9733" max="9733"/>
    <col width="48.1640625" customWidth="1" style="118" min="9734" max="9734"/>
    <col width="9" customWidth="1" style="118" min="9735" max="9984"/>
    <col width="28.1640625" customWidth="1" style="118" min="9985" max="9985"/>
    <col width="10" customWidth="1" style="118" min="9986" max="9986"/>
    <col width="14.33203125" customWidth="1" style="118" min="9987" max="9987"/>
    <col width="8" customWidth="1" style="118" min="9988" max="9988"/>
    <col width="38" customWidth="1" style="118" min="9989" max="9989"/>
    <col width="48.1640625" customWidth="1" style="118" min="9990" max="9990"/>
    <col width="9" customWidth="1" style="118" min="9991" max="10240"/>
    <col width="28.1640625" customWidth="1" style="118" min="10241" max="10241"/>
    <col width="10" customWidth="1" style="118" min="10242" max="10242"/>
    <col width="14.33203125" customWidth="1" style="118" min="10243" max="10243"/>
    <col width="8" customWidth="1" style="118" min="10244" max="10244"/>
    <col width="38" customWidth="1" style="118" min="10245" max="10245"/>
    <col width="48.1640625" customWidth="1" style="118" min="10246" max="10246"/>
    <col width="9" customWidth="1" style="118" min="10247" max="10496"/>
    <col width="28.1640625" customWidth="1" style="118" min="10497" max="10497"/>
    <col width="10" customWidth="1" style="118" min="10498" max="10498"/>
    <col width="14.33203125" customWidth="1" style="118" min="10499" max="10499"/>
    <col width="8" customWidth="1" style="118" min="10500" max="10500"/>
    <col width="38" customWidth="1" style="118" min="10501" max="10501"/>
    <col width="48.1640625" customWidth="1" style="118" min="10502" max="10502"/>
    <col width="9" customWidth="1" style="118" min="10503" max="10752"/>
    <col width="28.1640625" customWidth="1" style="118" min="10753" max="10753"/>
    <col width="10" customWidth="1" style="118" min="10754" max="10754"/>
    <col width="14.33203125" customWidth="1" style="118" min="10755" max="10755"/>
    <col width="8" customWidth="1" style="118" min="10756" max="10756"/>
    <col width="38" customWidth="1" style="118" min="10757" max="10757"/>
    <col width="48.1640625" customWidth="1" style="118" min="10758" max="10758"/>
    <col width="9" customWidth="1" style="118" min="10759" max="11008"/>
    <col width="28.1640625" customWidth="1" style="118" min="11009" max="11009"/>
    <col width="10" customWidth="1" style="118" min="11010" max="11010"/>
    <col width="14.33203125" customWidth="1" style="118" min="11011" max="11011"/>
    <col width="8" customWidth="1" style="118" min="11012" max="11012"/>
    <col width="38" customWidth="1" style="118" min="11013" max="11013"/>
    <col width="48.1640625" customWidth="1" style="118" min="11014" max="11014"/>
    <col width="9" customWidth="1" style="118" min="11015" max="11264"/>
    <col width="28.1640625" customWidth="1" style="118" min="11265" max="11265"/>
    <col width="10" customWidth="1" style="118" min="11266" max="11266"/>
    <col width="14.33203125" customWidth="1" style="118" min="11267" max="11267"/>
    <col width="8" customWidth="1" style="118" min="11268" max="11268"/>
    <col width="38" customWidth="1" style="118" min="11269" max="11269"/>
    <col width="48.1640625" customWidth="1" style="118" min="11270" max="11270"/>
    <col width="9" customWidth="1" style="118" min="11271" max="11520"/>
    <col width="28.1640625" customWidth="1" style="118" min="11521" max="11521"/>
    <col width="10" customWidth="1" style="118" min="11522" max="11522"/>
    <col width="14.33203125" customWidth="1" style="118" min="11523" max="11523"/>
    <col width="8" customWidth="1" style="118" min="11524" max="11524"/>
    <col width="38" customWidth="1" style="118" min="11525" max="11525"/>
    <col width="48.1640625" customWidth="1" style="118" min="11526" max="11526"/>
    <col width="9" customWidth="1" style="118" min="11527" max="11776"/>
    <col width="28.1640625" customWidth="1" style="118" min="11777" max="11777"/>
    <col width="10" customWidth="1" style="118" min="11778" max="11778"/>
    <col width="14.33203125" customWidth="1" style="118" min="11779" max="11779"/>
    <col width="8" customWidth="1" style="118" min="11780" max="11780"/>
    <col width="38" customWidth="1" style="118" min="11781" max="11781"/>
    <col width="48.1640625" customWidth="1" style="118" min="11782" max="11782"/>
    <col width="9" customWidth="1" style="118" min="11783" max="12032"/>
    <col width="28.1640625" customWidth="1" style="118" min="12033" max="12033"/>
    <col width="10" customWidth="1" style="118" min="12034" max="12034"/>
    <col width="14.33203125" customWidth="1" style="118" min="12035" max="12035"/>
    <col width="8" customWidth="1" style="118" min="12036" max="12036"/>
    <col width="38" customWidth="1" style="118" min="12037" max="12037"/>
    <col width="48.1640625" customWidth="1" style="118" min="12038" max="12038"/>
    <col width="9" customWidth="1" style="118" min="12039" max="12288"/>
    <col width="28.1640625" customWidth="1" style="118" min="12289" max="12289"/>
    <col width="10" customWidth="1" style="118" min="12290" max="12290"/>
    <col width="14.33203125" customWidth="1" style="118" min="12291" max="12291"/>
    <col width="8" customWidth="1" style="118" min="12292" max="12292"/>
    <col width="38" customWidth="1" style="118" min="12293" max="12293"/>
    <col width="48.1640625" customWidth="1" style="118" min="12294" max="12294"/>
    <col width="9" customWidth="1" style="118" min="12295" max="12544"/>
    <col width="28.1640625" customWidth="1" style="118" min="12545" max="12545"/>
    <col width="10" customWidth="1" style="118" min="12546" max="12546"/>
    <col width="14.33203125" customWidth="1" style="118" min="12547" max="12547"/>
    <col width="8" customWidth="1" style="118" min="12548" max="12548"/>
    <col width="38" customWidth="1" style="118" min="12549" max="12549"/>
    <col width="48.1640625" customWidth="1" style="118" min="12550" max="12550"/>
    <col width="9" customWidth="1" style="118" min="12551" max="12800"/>
    <col width="28.1640625" customWidth="1" style="118" min="12801" max="12801"/>
    <col width="10" customWidth="1" style="118" min="12802" max="12802"/>
    <col width="14.33203125" customWidth="1" style="118" min="12803" max="12803"/>
    <col width="8" customWidth="1" style="118" min="12804" max="12804"/>
    <col width="38" customWidth="1" style="118" min="12805" max="12805"/>
    <col width="48.1640625" customWidth="1" style="118" min="12806" max="12806"/>
    <col width="9" customWidth="1" style="118" min="12807" max="13056"/>
    <col width="28.1640625" customWidth="1" style="118" min="13057" max="13057"/>
    <col width="10" customWidth="1" style="118" min="13058" max="13058"/>
    <col width="14.33203125" customWidth="1" style="118" min="13059" max="13059"/>
    <col width="8" customWidth="1" style="118" min="13060" max="13060"/>
    <col width="38" customWidth="1" style="118" min="13061" max="13061"/>
    <col width="48.1640625" customWidth="1" style="118" min="13062" max="13062"/>
    <col width="9" customWidth="1" style="118" min="13063" max="13312"/>
    <col width="28.1640625" customWidth="1" style="118" min="13313" max="13313"/>
    <col width="10" customWidth="1" style="118" min="13314" max="13314"/>
    <col width="14.33203125" customWidth="1" style="118" min="13315" max="13315"/>
    <col width="8" customWidth="1" style="118" min="13316" max="13316"/>
    <col width="38" customWidth="1" style="118" min="13317" max="13317"/>
    <col width="48.1640625" customWidth="1" style="118" min="13318" max="13318"/>
    <col width="9" customWidth="1" style="118" min="13319" max="13568"/>
    <col width="28.1640625" customWidth="1" style="118" min="13569" max="13569"/>
    <col width="10" customWidth="1" style="118" min="13570" max="13570"/>
    <col width="14.33203125" customWidth="1" style="118" min="13571" max="13571"/>
    <col width="8" customWidth="1" style="118" min="13572" max="13572"/>
    <col width="38" customWidth="1" style="118" min="13573" max="13573"/>
    <col width="48.1640625" customWidth="1" style="118" min="13574" max="13574"/>
    <col width="9" customWidth="1" style="118" min="13575" max="13824"/>
    <col width="28.1640625" customWidth="1" style="118" min="13825" max="13825"/>
    <col width="10" customWidth="1" style="118" min="13826" max="13826"/>
    <col width="14.33203125" customWidth="1" style="118" min="13827" max="13827"/>
    <col width="8" customWidth="1" style="118" min="13828" max="13828"/>
    <col width="38" customWidth="1" style="118" min="13829" max="13829"/>
    <col width="48.1640625" customWidth="1" style="118" min="13830" max="13830"/>
    <col width="9" customWidth="1" style="118" min="13831" max="14080"/>
    <col width="28.1640625" customWidth="1" style="118" min="14081" max="14081"/>
    <col width="10" customWidth="1" style="118" min="14082" max="14082"/>
    <col width="14.33203125" customWidth="1" style="118" min="14083" max="14083"/>
    <col width="8" customWidth="1" style="118" min="14084" max="14084"/>
    <col width="38" customWidth="1" style="118" min="14085" max="14085"/>
    <col width="48.1640625" customWidth="1" style="118" min="14086" max="14086"/>
    <col width="9" customWidth="1" style="118" min="14087" max="14336"/>
    <col width="28.1640625" customWidth="1" style="118" min="14337" max="14337"/>
    <col width="10" customWidth="1" style="118" min="14338" max="14338"/>
    <col width="14.33203125" customWidth="1" style="118" min="14339" max="14339"/>
    <col width="8" customWidth="1" style="118" min="14340" max="14340"/>
    <col width="38" customWidth="1" style="118" min="14341" max="14341"/>
    <col width="48.1640625" customWidth="1" style="118" min="14342" max="14342"/>
    <col width="9" customWidth="1" style="118" min="14343" max="14592"/>
    <col width="28.1640625" customWidth="1" style="118" min="14593" max="14593"/>
    <col width="10" customWidth="1" style="118" min="14594" max="14594"/>
    <col width="14.33203125" customWidth="1" style="118" min="14595" max="14595"/>
    <col width="8" customWidth="1" style="118" min="14596" max="14596"/>
    <col width="38" customWidth="1" style="118" min="14597" max="14597"/>
    <col width="48.1640625" customWidth="1" style="118" min="14598" max="14598"/>
    <col width="9" customWidth="1" style="118" min="14599" max="14848"/>
    <col width="28.1640625" customWidth="1" style="118" min="14849" max="14849"/>
    <col width="10" customWidth="1" style="118" min="14850" max="14850"/>
    <col width="14.33203125" customWidth="1" style="118" min="14851" max="14851"/>
    <col width="8" customWidth="1" style="118" min="14852" max="14852"/>
    <col width="38" customWidth="1" style="118" min="14853" max="14853"/>
    <col width="48.1640625" customWidth="1" style="118" min="14854" max="14854"/>
    <col width="9" customWidth="1" style="118" min="14855" max="15104"/>
    <col width="28.1640625" customWidth="1" style="118" min="15105" max="15105"/>
    <col width="10" customWidth="1" style="118" min="15106" max="15106"/>
    <col width="14.33203125" customWidth="1" style="118" min="15107" max="15107"/>
    <col width="8" customWidth="1" style="118" min="15108" max="15108"/>
    <col width="38" customWidth="1" style="118" min="15109" max="15109"/>
    <col width="48.1640625" customWidth="1" style="118" min="15110" max="15110"/>
    <col width="9" customWidth="1" style="118" min="15111" max="15360"/>
    <col width="28.1640625" customWidth="1" style="118" min="15361" max="15361"/>
    <col width="10" customWidth="1" style="118" min="15362" max="15362"/>
    <col width="14.33203125" customWidth="1" style="118" min="15363" max="15363"/>
    <col width="8" customWidth="1" style="118" min="15364" max="15364"/>
    <col width="38" customWidth="1" style="118" min="15365" max="15365"/>
    <col width="48.1640625" customWidth="1" style="118" min="15366" max="15366"/>
    <col width="9" customWidth="1" style="118" min="15367" max="15616"/>
    <col width="28.1640625" customWidth="1" style="118" min="15617" max="15617"/>
    <col width="10" customWidth="1" style="118" min="15618" max="15618"/>
    <col width="14.33203125" customWidth="1" style="118" min="15619" max="15619"/>
    <col width="8" customWidth="1" style="118" min="15620" max="15620"/>
    <col width="38" customWidth="1" style="118" min="15621" max="15621"/>
    <col width="48.1640625" customWidth="1" style="118" min="15622" max="15622"/>
    <col width="9" customWidth="1" style="118" min="15623" max="15872"/>
    <col width="28.1640625" customWidth="1" style="118" min="15873" max="15873"/>
    <col width="10" customWidth="1" style="118" min="15874" max="15874"/>
    <col width="14.33203125" customWidth="1" style="118" min="15875" max="15875"/>
    <col width="8" customWidth="1" style="118" min="15876" max="15876"/>
    <col width="38" customWidth="1" style="118" min="15877" max="15877"/>
    <col width="48.1640625" customWidth="1" style="118" min="15878" max="15878"/>
    <col width="9" customWidth="1" style="118" min="15879" max="16128"/>
    <col width="28.1640625" customWidth="1" style="118" min="16129" max="16129"/>
    <col width="10" customWidth="1" style="118" min="16130" max="16130"/>
    <col width="14.33203125" customWidth="1" style="118" min="16131" max="16131"/>
    <col width="8" customWidth="1" style="118" min="16132" max="16132"/>
    <col width="38" customWidth="1" style="118" min="16133" max="16133"/>
    <col width="48.1640625" customWidth="1" style="118" min="16134" max="16134"/>
    <col width="9" customWidth="1" style="118" min="16135" max="16384"/>
  </cols>
  <sheetData>
    <row r="2" ht="75.75" customFormat="1" customHeight="1" s="115">
      <c r="A2" s="113" t="n"/>
      <c r="B2" s="114" t="inlineStr">
        <is>
          <t>TEST REPORT DOCUMENT</t>
        </is>
      </c>
      <c r="C2" s="150" t="n"/>
      <c r="D2" s="150" t="n"/>
      <c r="E2" s="150" t="n"/>
      <c r="F2" s="151" t="n"/>
    </row>
    <row r="3">
      <c r="A3" s="116" t="n"/>
      <c r="B3" s="117" t="n"/>
      <c r="E3" s="119" t="n"/>
    </row>
    <row r="4" ht="14.25" customHeight="1">
      <c r="A4" s="120" t="inlineStr">
        <is>
          <t>Project Name</t>
        </is>
      </c>
      <c r="B4" s="121" t="inlineStr">
        <is>
          <t>Develop an AI-Assisted Omnichannel Order Fulfillment and Packaging Optimization System (OptiPack AI)</t>
        </is>
      </c>
      <c r="C4" s="150" t="n"/>
      <c r="D4" s="151" t="n"/>
      <c r="E4" s="120" t="inlineStr">
        <is>
          <t>Creator</t>
        </is>
      </c>
      <c r="F4" s="122" t="inlineStr">
        <is>
          <t>Nguyễn Phương Mỹ Thuận</t>
        </is>
      </c>
    </row>
    <row r="5" ht="14.25" customHeight="1">
      <c r="A5" s="120" t="inlineStr">
        <is>
          <t>Project Code</t>
        </is>
      </c>
      <c r="B5" s="121" t="inlineStr">
        <is>
          <t>FA26SE036</t>
        </is>
      </c>
      <c r="C5" s="150" t="n"/>
      <c r="D5" s="151" t="n"/>
      <c r="E5" s="120" t="inlineStr">
        <is>
          <t>Issue Date</t>
        </is>
      </c>
      <c r="F5" s="123" t="inlineStr">
        <is>
          <t>25/10/2026</t>
        </is>
      </c>
    </row>
    <row r="6" ht="15.75" customHeight="1">
      <c r="A6" s="124" t="inlineStr">
        <is>
          <t>Document Code</t>
        </is>
      </c>
      <c r="B6" s="152">
        <f>B5&amp;"_"&amp;"Test Report"&amp;"_"&amp;"v1.0"</f>
        <v/>
      </c>
      <c r="C6" s="150" t="n"/>
      <c r="D6" s="151" t="n"/>
      <c r="E6" s="120" t="inlineStr">
        <is>
          <t>Version</t>
        </is>
      </c>
      <c r="F6" s="128" t="inlineStr">
        <is>
          <t>1.0</t>
        </is>
      </c>
    </row>
    <row r="7">
      <c r="A7" s="129" t="n"/>
      <c r="B7" s="130" t="n"/>
      <c r="E7" s="131" t="n"/>
      <c r="F7" s="117" t="n"/>
    </row>
    <row r="8">
      <c r="A8" s="118" t="n"/>
    </row>
    <row r="9">
      <c r="A9" s="132" t="inlineStr">
        <is>
          <t>Record of change</t>
        </is>
      </c>
    </row>
    <row r="10" customFormat="1" s="136">
      <c r="A10" s="133" t="inlineStr">
        <is>
          <t>Effective Date</t>
        </is>
      </c>
      <c r="B10" s="134" t="inlineStr">
        <is>
          <t>Version</t>
        </is>
      </c>
      <c r="C10" s="134" t="inlineStr">
        <is>
          <t>Change Item</t>
        </is>
      </c>
      <c r="D10" s="134" t="inlineStr">
        <is>
          <t>*A,D,M</t>
        </is>
      </c>
      <c r="E10" s="134" t="inlineStr">
        <is>
          <t>Change description</t>
        </is>
      </c>
      <c r="F10" s="135" t="inlineStr">
        <is>
          <t>Reference</t>
        </is>
      </c>
    </row>
    <row r="11" ht="26.25" customFormat="1" customHeight="1" s="142">
      <c r="A11" s="137" t="inlineStr">
        <is>
          <t>25/10/2026</t>
        </is>
      </c>
      <c r="B11" s="138" t="inlineStr">
        <is>
          <t>1.0</t>
        </is>
      </c>
      <c r="C11" s="139" t="inlineStr">
        <is>
          <t>Whole document</t>
        </is>
      </c>
      <c r="D11" s="139" t="inlineStr">
        <is>
          <t>A</t>
        </is>
      </c>
      <c r="E11" s="140" t="inlineStr">
        <is>
          <t>Initial test report for Review 2: 75 functional test cases (10 mandatory features × 3, 6 main workflows, 33 Order Group state transitions, 6 NFRs); round 1 results from CI run #258 on tag review-2.</t>
        </is>
      </c>
      <c r="F11" s="141" t="inlineStr">
        <is>
          <t>Report 3 (SRS), Report 4 (SDD), Design Brief BM01, Report5_Test_Documentation.docx</t>
        </is>
      </c>
    </row>
    <row r="12" ht="21.75" customFormat="1" customHeight="1" s="142">
      <c r="A12" s="143" t="n"/>
      <c r="B12" s="138" t="n"/>
      <c r="C12" s="139" t="n"/>
      <c r="D12" s="139" t="n"/>
      <c r="E12" s="139" t="n"/>
      <c r="F12" s="144" t="n"/>
    </row>
    <row r="13" ht="19.5" customFormat="1" customHeight="1" s="142">
      <c r="A13" s="143" t="n"/>
      <c r="B13" s="138" t="n"/>
      <c r="C13" s="139" t="n"/>
      <c r="D13" s="139" t="n"/>
      <c r="E13" s="139" t="n"/>
      <c r="F13" s="144" t="n"/>
    </row>
    <row r="14" ht="21.75" customFormat="1" customHeight="1" s="142">
      <c r="A14" s="143" t="n"/>
      <c r="B14" s="138" t="n"/>
      <c r="C14" s="139" t="n"/>
      <c r="D14" s="139" t="n"/>
      <c r="E14" s="139" t="n"/>
      <c r="F14" s="144" t="n"/>
    </row>
    <row r="15" ht="19.5" customFormat="1" customHeight="1" s="142">
      <c r="A15" s="143" t="n"/>
      <c r="B15" s="138" t="n"/>
      <c r="C15" s="139" t="n"/>
      <c r="D15" s="139" t="n"/>
      <c r="E15" s="139" t="n"/>
      <c r="F15" s="144" t="n"/>
    </row>
    <row r="16" ht="21.75" customFormat="1" customHeight="1" s="142">
      <c r="A16" s="143" t="n"/>
      <c r="B16" s="138" t="n"/>
      <c r="C16" s="139" t="n"/>
      <c r="D16" s="139" t="n"/>
      <c r="E16" s="139" t="n"/>
      <c r="F16" s="144" t="n"/>
    </row>
    <row r="17" ht="19.5" customFormat="1" customHeight="1" s="142">
      <c r="A17" s="145" t="n"/>
      <c r="B17" s="146" t="n"/>
      <c r="C17" s="147" t="n"/>
      <c r="D17" s="147" t="n"/>
      <c r="E17" s="147" t="n"/>
      <c r="F17" s="148" t="n"/>
    </row>
  </sheetData>
  <mergeCells count="4">
    <mergeCell ref="B2:F2"/>
    <mergeCell ref="B6:D6"/>
    <mergeCell ref="B5:D5"/>
    <mergeCell ref="B4:D4"/>
  </mergeCells>
  <printOptions gridLines="0"/>
  <pageMargins left="0.4" right="0.4" top="0.5" bottom="0.5" header="0.5118055555555556" footer="0.1701388888888889"/>
  <pageSetup orientation="landscape" paperSize="9" fitToHeight="0" fitToWidth="1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F21"/>
  <sheetViews>
    <sheetView workbookViewId="0">
      <selection activeCell="D13" sqref="D13"/>
    </sheetView>
  </sheetViews>
  <sheetFormatPr baseColWidth="10" defaultColWidth="9" defaultRowHeight="13"/>
  <cols>
    <col width="1.33203125" customWidth="1" style="61" min="1" max="1"/>
    <col width="11.83203125" customWidth="1" style="3" min="2" max="2"/>
    <col width="26.5" customWidth="1" style="4" min="3" max="3"/>
    <col width="17.1640625" customWidth="1" style="4" min="4" max="4"/>
    <col width="28.1640625" customWidth="1" style="4" min="5" max="5"/>
    <col width="30.6640625" customWidth="1" style="4" min="6" max="6"/>
    <col width="9" customWidth="1" style="61" min="7" max="16384"/>
  </cols>
  <sheetData>
    <row r="1" ht="25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04" t="inlineStr">
        <is>
          <t>Project Name</t>
        </is>
      </c>
      <c r="C3" s="150" t="n"/>
      <c r="D3" s="105" t="inlineStr">
        <is>
          <t>Develop an AI-Assisted Omnichannel Order Fulfillment and Packaging Optimization System (OptiPack AI)</t>
        </is>
      </c>
      <c r="E3" s="150" t="n"/>
      <c r="F3" s="151" t="n"/>
    </row>
    <row r="4">
      <c r="B4" s="104" t="inlineStr">
        <is>
          <t>Project Code</t>
        </is>
      </c>
      <c r="C4" s="150" t="n"/>
      <c r="D4" s="105" t="inlineStr">
        <is>
          <t>FA26SE036</t>
        </is>
      </c>
      <c r="E4" s="150" t="n"/>
      <c r="F4" s="151" t="n"/>
    </row>
    <row r="5" ht="84.75" customFormat="1" customHeight="1" s="33">
      <c r="B5" s="102" t="inlineStr">
        <is>
          <t>Test Environment Setup Description</t>
        </is>
      </c>
      <c r="C5" s="151" t="n"/>
      <c r="D5" s="103" t="inlineStr">
        <is>
          <t>1. Server: back end NestJS 11 on Node.js 22 (CI: ubuntu-latest, GitHub Actions); packer service Python 3.12 / FastAPI (optional)
2. Database: MongoDB Atlas (replica set, transactions); Redis 7 (Docker)
3. Web browser: Chrome (latest) for the staff portal (React 19 + Vite) and the AURELLE website (Next.js 15)
4. External: Lazada test shop, AURELLE Open API simulator (be/scripts/aurelle-mock-server.ts), GHN staging API
5. Data: seeded with be/scripts/seed-*.ts</t>
        </is>
      </c>
      <c r="E5" s="150" t="n"/>
      <c r="F5" s="151" t="n"/>
    </row>
    <row r="6">
      <c r="B6" s="10" t="n"/>
      <c r="C6" s="61" t="n"/>
      <c r="D6" s="61" t="n"/>
      <c r="E6" s="61" t="n"/>
      <c r="F6" s="61" t="n"/>
    </row>
    <row r="7" customFormat="1" s="12">
      <c r="B7" s="13" t="n"/>
      <c r="C7" s="14" t="n"/>
      <c r="D7" s="14" t="n"/>
      <c r="E7" s="14" t="n"/>
      <c r="F7" s="14" t="n"/>
    </row>
    <row r="8" ht="21" customFormat="1" customHeight="1" s="15">
      <c r="B8" s="16" t="inlineStr">
        <is>
          <t>No</t>
        </is>
      </c>
      <c r="C8" s="17" t="inlineStr">
        <is>
          <t>Function Name</t>
        </is>
      </c>
      <c r="D8" s="17" t="inlineStr">
        <is>
          <t>Sheet Name</t>
        </is>
      </c>
      <c r="E8" s="18" t="inlineStr">
        <is>
          <t>Description</t>
        </is>
      </c>
      <c r="F8" s="19" t="inlineStr">
        <is>
          <t>Pre-Condition</t>
        </is>
      </c>
    </row>
    <row r="9" ht="14" customHeight="1">
      <c r="B9" s="20" t="n">
        <v>1</v>
      </c>
      <c r="C9" s="21" t="inlineStr">
        <is>
          <t>F-01 Authentication and role-based access</t>
        </is>
      </c>
      <c r="D9" s="101" t="inlineStr">
        <is>
          <t>F-01</t>
        </is>
      </c>
      <c r="E9" s="153" t="inlineStr">
        <is>
          <t>Acceptance criteria of F-01 (Design Brief section 6): main flow, data / business rule, exception or permission</t>
        </is>
      </c>
      <c r="F9" s="23" t="inlineStr">
        <is>
          <t>Logged in with a role allowed for the feature</t>
        </is>
      </c>
    </row>
    <row r="10" ht="14" customHeight="1">
      <c r="B10" s="20" t="n">
        <v>2</v>
      </c>
      <c r="C10" s="21" t="inlineStr">
        <is>
          <t>F-02 Marketplace connection and order sync</t>
        </is>
      </c>
      <c r="D10" s="101" t="inlineStr">
        <is>
          <t>F-02</t>
        </is>
      </c>
      <c r="E10" s="153" t="inlineStr">
        <is>
          <t>Acceptance criteria of F-02 (Design Brief section 6): main flow, data / business rule, exception or permission</t>
        </is>
      </c>
      <c r="F10" s="23" t="inlineStr">
        <is>
          <t>Logged in with a role allowed for the feature</t>
        </is>
      </c>
    </row>
    <row r="11" ht="14" customHeight="1">
      <c r="B11" s="20" t="n">
        <v>3</v>
      </c>
      <c r="C11" s="21" t="inlineStr">
        <is>
          <t>F-03 Order consolidation and groups</t>
        </is>
      </c>
      <c r="D11" s="101" t="inlineStr">
        <is>
          <t>F-03</t>
        </is>
      </c>
      <c r="E11" s="153" t="inlineStr">
        <is>
          <t>Acceptance criteria of F-03 (Design Brief section 6): main flow, data / business rule, exception or permission</t>
        </is>
      </c>
      <c r="F11" s="23" t="inlineStr">
        <is>
          <t>Logged in with a role allowed for the feature</t>
        </is>
      </c>
    </row>
    <row r="12" ht="14" customHeight="1">
      <c r="B12" s="20" t="n">
        <v>4</v>
      </c>
      <c r="C12" s="21" t="inlineStr">
        <is>
          <t>F-04 Stock reservation and FIFO lots</t>
        </is>
      </c>
      <c r="D12" s="101" t="inlineStr">
        <is>
          <t>F-04</t>
        </is>
      </c>
      <c r="E12" s="153" t="inlineStr">
        <is>
          <t>Acceptance criteria of F-04 (Design Brief section 6): main flow, data / business rule, exception or permission</t>
        </is>
      </c>
      <c r="F12" s="23" t="inlineStr">
        <is>
          <t>Logged in with a role allowed for the feature</t>
        </is>
      </c>
    </row>
    <row r="13" ht="14" customHeight="1">
      <c r="B13" s="20" t="n">
        <v>5</v>
      </c>
      <c r="C13" s="21" t="inlineStr">
        <is>
          <t>F-05 Picking with missing-item handling</t>
        </is>
      </c>
      <c r="D13" s="101" t="inlineStr">
        <is>
          <t>F-05</t>
        </is>
      </c>
      <c r="E13" s="153" t="inlineStr">
        <is>
          <t>Acceptance criteria of F-05 (Design Brief section 6): main flow, data / business rule, exception or permission</t>
        </is>
      </c>
      <c r="F13" s="23" t="inlineStr">
        <is>
          <t>Logged in with a role allowed for the feature</t>
        </is>
      </c>
    </row>
    <row r="14">
      <c r="B14" s="20" t="n">
        <v>6</v>
      </c>
      <c r="C14" s="21" t="inlineStr">
        <is>
          <t>F-06 3D packing plan, approval and packing</t>
        </is>
      </c>
      <c r="D14" s="101" t="inlineStr">
        <is>
          <t>F-06</t>
        </is>
      </c>
      <c r="E14" s="153" t="inlineStr">
        <is>
          <t>Acceptance criteria of F-06 (Design Brief section 6): main flow, data / business rule, exception or permission</t>
        </is>
      </c>
      <c r="F14" s="23" t="inlineStr">
        <is>
          <t>Logged in with a role allowed for the feature</t>
        </is>
      </c>
    </row>
    <row r="15">
      <c r="B15" s="20" t="n">
        <v>7</v>
      </c>
      <c r="C15" s="21" t="inlineStr">
        <is>
          <t>F-07 Shipping with GHN</t>
        </is>
      </c>
      <c r="D15" s="101" t="inlineStr">
        <is>
          <t>F-07</t>
        </is>
      </c>
      <c r="E15" s="153" t="inlineStr">
        <is>
          <t>Acceptance criteria of F-07 (Design Brief section 6): main flow, data / business rule, exception or permission</t>
        </is>
      </c>
      <c r="F15" s="23" t="inlineStr">
        <is>
          <t>Logged in with a role allowed for the feature</t>
        </is>
      </c>
    </row>
    <row r="16">
      <c r="B16" s="20" t="n">
        <v>8</v>
      </c>
      <c r="C16" s="21" t="inlineStr">
        <is>
          <t>F-08 Returns and exchanges</t>
        </is>
      </c>
      <c r="D16" s="101" t="inlineStr">
        <is>
          <t>F-08</t>
        </is>
      </c>
      <c r="E16" s="153" t="inlineStr">
        <is>
          <t>Acceptance criteria of F-08 (Design Brief section 6): main flow, data / business rule, exception or permission</t>
        </is>
      </c>
      <c r="F16" s="23" t="inlineStr">
        <is>
          <t>Logged in with a role allowed for the feature</t>
        </is>
      </c>
    </row>
    <row r="17">
      <c r="B17" s="20" t="n">
        <v>9</v>
      </c>
      <c r="C17" s="21" t="inlineStr">
        <is>
          <t>F-09 AURELLE web store and order tracking</t>
        </is>
      </c>
      <c r="D17" s="101" t="inlineStr">
        <is>
          <t>F-09</t>
        </is>
      </c>
      <c r="E17" s="153" t="inlineStr">
        <is>
          <t>Acceptance criteria of F-09 (Design Brief section 6): main flow, data / business rule, exception or permission</t>
        </is>
      </c>
      <c r="F17" s="23" t="inlineStr">
        <is>
          <t>Logged in with a role allowed for the feature</t>
        </is>
      </c>
    </row>
    <row r="18">
      <c r="B18" s="20" t="n">
        <v>10</v>
      </c>
      <c r="C18" s="21" t="inlineStr">
        <is>
          <t>F-10 Documents and labels</t>
        </is>
      </c>
      <c r="D18" s="101" t="inlineStr">
        <is>
          <t>F-10</t>
        </is>
      </c>
      <c r="E18" s="153" t="inlineStr">
        <is>
          <t>Acceptance criteria of F-10 (Design Brief section 6): main flow, data / business rule, exception or permission</t>
        </is>
      </c>
      <c r="F18" s="23" t="inlineStr">
        <is>
          <t>Logged in with a role allowed for the feature</t>
        </is>
      </c>
    </row>
    <row r="19">
      <c r="B19" s="20" t="n">
        <v>11</v>
      </c>
      <c r="C19" s="21" t="inlineStr">
        <is>
          <t>Main workflows (end-to-end)</t>
        </is>
      </c>
      <c r="D19" s="101" t="inlineStr">
        <is>
          <t>WF</t>
        </is>
      </c>
      <c r="E19" s="153" t="inlineStr">
        <is>
          <t>One end-to-end main scenario per main workflow WF-01 … WF-06 (Design Brief A1 / A2)</t>
        </is>
      </c>
      <c r="F19" s="23" t="inlineStr">
        <is>
          <t>Staging with seeded data; all roles available</t>
        </is>
      </c>
    </row>
    <row r="20">
      <c r="B20" s="20" t="n">
        <v>12</v>
      </c>
      <c r="C20" s="21" t="inlineStr">
        <is>
          <t>Order Group state transitions</t>
        </is>
      </c>
      <c r="D20" s="101" t="inlineStr">
        <is>
          <t>ST</t>
        </is>
      </c>
      <c r="E20" s="153" t="inlineStr">
        <is>
          <t>Every allowed transition of the Order Group (be/src/modules/order-groups/enums/allowed-status-transitions.ts, 33 transitions); invalid jumps are rejected</t>
        </is>
      </c>
      <c r="F20" s="23" t="inlineStr">
        <is>
          <t>Order Group in the source status</t>
        </is>
      </c>
    </row>
    <row r="21">
      <c r="B21" s="20" t="n">
        <v>13</v>
      </c>
      <c r="C21" s="21" t="inlineStr">
        <is>
          <t>Non-functional requirements</t>
        </is>
      </c>
      <c r="D21" s="101" t="inlineStr">
        <is>
          <t>NFR</t>
        </is>
      </c>
      <c r="E21" s="153" t="inlineStr">
        <is>
          <t>Each agreed NFR measured with its metric and threshold (Design Brief section 7)</t>
        </is>
      </c>
      <c r="F21" s="23" t="inlineStr">
        <is>
          <t>See each case</t>
        </is>
      </c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/>
    <hyperlink ref="D10" location="Feature2!A1" display="Feature1"/>
    <hyperlink ref="D11" location="Feature1!A1" display="Feature1"/>
    <hyperlink ref="D12" location="Feature2!A1" display="Feature2"/>
    <hyperlink ref="D13" location="Feature2!A1" display="Feature2"/>
  </hyperlinks>
  <printOptions gridLines="0"/>
  <pageMargins left="0.4" right="0.4" top="0.5" bottom="0.5" header="0.5118055555555556" footer="0.9840277777777778"/>
  <pageSetup orientation="landscape" paperSize="9" fitToHeight="0" fitToWidth="1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B2" sqref="B2"/>
    </sheetView>
  </sheetViews>
  <sheetFormatPr baseColWidth="10" defaultColWidth="9" defaultRowHeight="13"/>
  <cols>
    <col width="4.5" customWidth="1" style="61" min="1" max="1"/>
    <col width="18.33203125" customWidth="1" style="61" min="2" max="2"/>
    <col width="19.33203125" customWidth="1" style="61" min="3" max="3"/>
    <col width="11.6640625" customWidth="1" style="61" min="4" max="6"/>
    <col width="9" customWidth="1" style="61" min="7" max="7"/>
    <col width="35.5" customWidth="1" style="61" min="8" max="8"/>
    <col width="33.1640625" customWidth="1" style="61" min="9" max="9"/>
    <col width="9" customWidth="1" style="61" min="10" max="16384"/>
  </cols>
  <sheetData>
    <row r="1" ht="25.5" customHeight="1">
      <c r="B1" s="108" t="inlineStr">
        <is>
          <t>TEST STATISTICS</t>
        </is>
      </c>
    </row>
    <row r="2" ht="14.25" customHeight="1">
      <c r="A2" s="52" t="n"/>
      <c r="B2" s="52" t="n"/>
      <c r="C2" s="53" t="n"/>
      <c r="D2" s="53" t="n"/>
      <c r="E2" s="53" t="n"/>
      <c r="F2" s="53" t="n"/>
      <c r="G2" s="53" t="n"/>
      <c r="H2" s="54" t="n"/>
    </row>
    <row r="3" ht="12" customHeight="1">
      <c r="B3" s="2" t="inlineStr">
        <is>
          <t>Project Name</t>
        </is>
      </c>
      <c r="C3" s="105" t="inlineStr">
        <is>
          <t>Develop an AI-Assisted Omnichannel Order Fulfillment and Packaging Optimization System (OptiPack AI)</t>
        </is>
      </c>
      <c r="D3" s="151" t="n"/>
      <c r="E3" s="106" t="inlineStr">
        <is>
          <t>Creator</t>
        </is>
      </c>
      <c r="F3" s="151" t="n"/>
      <c r="G3" s="55" t="inlineStr">
        <is>
          <t>Nguyễn Phương Mỹ Thuận</t>
        </is>
      </c>
      <c r="H3" s="56" t="n"/>
    </row>
    <row r="4" ht="12" customHeight="1">
      <c r="B4" s="2" t="inlineStr">
        <is>
          <t>Project Code</t>
        </is>
      </c>
      <c r="C4" s="105" t="inlineStr">
        <is>
          <t>FA26SE036</t>
        </is>
      </c>
      <c r="D4" s="151" t="n"/>
      <c r="E4" s="106" t="inlineStr">
        <is>
          <t>Reviewer/Approver</t>
        </is>
      </c>
      <c r="F4" s="151" t="n"/>
      <c r="G4" s="55" t="inlineStr">
        <is>
          <t>Thân Thị Ngọc Vân</t>
        </is>
      </c>
      <c r="H4" s="56" t="n"/>
    </row>
    <row r="5" ht="12" customHeight="1">
      <c r="B5" s="57" t="inlineStr">
        <is>
          <t>Document Code</t>
        </is>
      </c>
      <c r="C5" s="105">
        <f>C4&amp;"_"&amp;"Test Report"&amp;"_"&amp;"v1.0"</f>
        <v/>
      </c>
      <c r="D5" s="151" t="n"/>
      <c r="E5" s="106" t="inlineStr">
        <is>
          <t>Issue Date</t>
        </is>
      </c>
      <c r="F5" s="151" t="n"/>
      <c r="G5" s="55" t="n"/>
      <c r="H5" s="58" t="inlineStr">
        <is>
          <t>25/10/2026</t>
        </is>
      </c>
    </row>
    <row r="6" ht="21.75" customHeight="1">
      <c r="A6" s="52" t="n"/>
      <c r="B6" s="57" t="inlineStr">
        <is>
          <t>Notes</t>
        </is>
      </c>
      <c r="C6" s="107" t="inlineStr">
        <is>
          <t>Review 2 release (tag review-2, commit 1a3101c): 10 mandatory features F-01 … F-10, main workflows WF-01 … WF-06, Order Group state transitions, NFR-1 … NFR-6. Round 1 = automated results of CI run #258; manual cases are pending until the Verification stage.</t>
        </is>
      </c>
      <c r="D6" s="150" t="n"/>
      <c r="E6" s="150" t="n"/>
      <c r="F6" s="150" t="n"/>
      <c r="G6" s="150" t="n"/>
      <c r="H6" s="151" t="n"/>
    </row>
    <row r="7" ht="14.25" customHeight="1">
      <c r="A7" s="52" t="n"/>
      <c r="B7" s="59" t="n"/>
      <c r="C7" s="60" t="n"/>
      <c r="D7" s="53" t="n"/>
      <c r="E7" s="53" t="n"/>
      <c r="F7" s="53" t="n"/>
      <c r="G7" s="53" t="n"/>
      <c r="H7" s="54" t="n"/>
    </row>
    <row r="8">
      <c r="B8" s="59" t="n"/>
      <c r="C8" s="60" t="n"/>
      <c r="D8" s="53" t="n"/>
      <c r="E8" s="53" t="n"/>
      <c r="F8" s="53" t="n"/>
      <c r="G8" s="53" t="n"/>
      <c r="H8" s="54" t="n"/>
    </row>
    <row r="9">
      <c r="A9" s="61" t="n"/>
      <c r="B9" s="61" t="n"/>
      <c r="C9" s="61" t="n"/>
      <c r="D9" s="61" t="n"/>
      <c r="E9" s="61" t="n"/>
      <c r="F9" s="61" t="n"/>
      <c r="G9" s="61" t="n"/>
      <c r="H9" s="61" t="n"/>
    </row>
    <row r="10" ht="14" customHeight="1">
      <c r="A10" s="68" t="n"/>
      <c r="B10" s="63" t="inlineStr">
        <is>
          <t>No</t>
        </is>
      </c>
      <c r="C10" s="64" t="inlineStr">
        <is>
          <t>Module code</t>
        </is>
      </c>
      <c r="D10" s="65" t="inlineStr">
        <is>
          <t>Passed</t>
        </is>
      </c>
      <c r="E10" s="64" t="inlineStr">
        <is>
          <t>Failed</t>
        </is>
      </c>
      <c r="F10" s="64" t="inlineStr">
        <is>
          <t>Pending</t>
        </is>
      </c>
      <c r="G10" s="66" t="inlineStr">
        <is>
          <t>N/A</t>
        </is>
      </c>
      <c r="H10" s="67" t="inlineStr">
        <is>
          <t>Number of  test cases</t>
        </is>
      </c>
    </row>
    <row r="11">
      <c r="A11" s="68" t="n"/>
      <c r="B11" s="69" t="n">
        <v>1</v>
      </c>
      <c r="C11" s="70">
        <f>'F-01'!B2</f>
        <v/>
      </c>
      <c r="D11" s="71">
        <f>'F-01'!B6</f>
        <v/>
      </c>
      <c r="E11" s="71">
        <f>'F-01'!C6</f>
        <v/>
      </c>
      <c r="F11" s="71">
        <f>'F-01'!D6</f>
        <v/>
      </c>
      <c r="G11" s="71">
        <f>'F-01'!E6</f>
        <v/>
      </c>
      <c r="H11" s="73">
        <f>'F-01'!B4</f>
        <v/>
      </c>
    </row>
    <row r="12">
      <c r="A12" s="68" t="n"/>
      <c r="B12" s="69" t="n">
        <v>2</v>
      </c>
      <c r="C12" s="70">
        <f>'F-02'!B2</f>
        <v/>
      </c>
      <c r="D12" s="71">
        <f>'F-02'!B6</f>
        <v/>
      </c>
      <c r="E12" s="71">
        <f>'F-02'!C6</f>
        <v/>
      </c>
      <c r="F12" s="71">
        <f>'F-02'!D6</f>
        <v/>
      </c>
      <c r="G12" s="71">
        <f>'F-02'!E6</f>
        <v/>
      </c>
      <c r="H12" s="73">
        <f>'F-02'!B4</f>
        <v/>
      </c>
    </row>
    <row r="13">
      <c r="A13" s="68" t="n"/>
      <c r="B13" s="69" t="n">
        <v>3</v>
      </c>
      <c r="C13" s="70">
        <f>'F-03'!B2</f>
        <v/>
      </c>
      <c r="D13" s="71">
        <f>'F-03'!B6</f>
        <v/>
      </c>
      <c r="E13" s="71">
        <f>'F-03'!C6</f>
        <v/>
      </c>
      <c r="F13" s="71">
        <f>'F-03'!D6</f>
        <v/>
      </c>
      <c r="G13" s="71">
        <f>'F-03'!E6</f>
        <v/>
      </c>
      <c r="H13" s="73">
        <f>'F-03'!B4</f>
        <v/>
      </c>
    </row>
    <row r="14">
      <c r="A14" s="68" t="n"/>
      <c r="B14" s="69" t="n">
        <v>4</v>
      </c>
      <c r="C14" s="70">
        <f>'F-04'!B2</f>
        <v/>
      </c>
      <c r="D14" s="71">
        <f>'F-04'!B6</f>
        <v/>
      </c>
      <c r="E14" s="71">
        <f>'F-04'!C6</f>
        <v/>
      </c>
      <c r="F14" s="71">
        <f>'F-04'!D6</f>
        <v/>
      </c>
      <c r="G14" s="71">
        <f>'F-04'!E6</f>
        <v/>
      </c>
      <c r="H14" s="73">
        <f>'F-04'!B4</f>
        <v/>
      </c>
    </row>
    <row r="15">
      <c r="A15" s="61" t="n"/>
      <c r="B15" s="69" t="n">
        <v>5</v>
      </c>
      <c r="C15" s="70">
        <f>'F-05'!B2</f>
        <v/>
      </c>
      <c r="D15" s="71">
        <f>'F-05'!B6</f>
        <v/>
      </c>
      <c r="E15" s="71">
        <f>'F-05'!C6</f>
        <v/>
      </c>
      <c r="F15" s="71">
        <f>'F-05'!D6</f>
        <v/>
      </c>
      <c r="G15" s="71">
        <f>'F-05'!E6</f>
        <v/>
      </c>
      <c r="H15" s="73">
        <f>'F-05'!B4</f>
        <v/>
      </c>
    </row>
    <row r="16">
      <c r="A16" s="61" t="n"/>
      <c r="B16" s="69" t="n">
        <v>6</v>
      </c>
      <c r="C16" s="70">
        <f>'F-06'!B2</f>
        <v/>
      </c>
      <c r="D16" s="71">
        <f>'F-06'!B6</f>
        <v/>
      </c>
      <c r="E16" s="71">
        <f>'F-06'!C6</f>
        <v/>
      </c>
      <c r="F16" s="71">
        <f>'F-06'!D6</f>
        <v/>
      </c>
      <c r="G16" s="71">
        <f>'F-06'!E6</f>
        <v/>
      </c>
      <c r="H16" s="73">
        <f>'F-06'!B4</f>
        <v/>
      </c>
    </row>
    <row r="17">
      <c r="A17" s="61" t="n"/>
      <c r="B17" s="69" t="n">
        <v>7</v>
      </c>
      <c r="C17" s="70">
        <f>'F-07'!B2</f>
        <v/>
      </c>
      <c r="D17" s="71">
        <f>'F-07'!B6</f>
        <v/>
      </c>
      <c r="E17" s="71">
        <f>'F-07'!C6</f>
        <v/>
      </c>
      <c r="F17" s="71">
        <f>'F-07'!D6</f>
        <v/>
      </c>
      <c r="G17" s="71">
        <f>'F-07'!E6</f>
        <v/>
      </c>
      <c r="H17" s="73">
        <f>'F-07'!B4</f>
        <v/>
      </c>
    </row>
    <row r="18">
      <c r="B18" s="69" t="n">
        <v>8</v>
      </c>
      <c r="C18" s="70">
        <f>'F-08'!B2</f>
        <v/>
      </c>
      <c r="D18" s="71">
        <f>'F-08'!B6</f>
        <v/>
      </c>
      <c r="E18" s="71">
        <f>'F-08'!C6</f>
        <v/>
      </c>
      <c r="F18" s="71">
        <f>'F-08'!D6</f>
        <v/>
      </c>
      <c r="G18" s="71">
        <f>'F-08'!E6</f>
        <v/>
      </c>
      <c r="H18" s="73">
        <f>'F-08'!B4</f>
        <v/>
      </c>
    </row>
    <row r="19">
      <c r="B19" s="69" t="n">
        <v>9</v>
      </c>
      <c r="C19" s="70">
        <f>'F-09'!B2</f>
        <v/>
      </c>
      <c r="D19" s="71">
        <f>'F-09'!B6</f>
        <v/>
      </c>
      <c r="E19" s="71">
        <f>'F-09'!C6</f>
        <v/>
      </c>
      <c r="F19" s="71">
        <f>'F-09'!D6</f>
        <v/>
      </c>
      <c r="G19" s="71">
        <f>'F-09'!E6</f>
        <v/>
      </c>
      <c r="H19" s="73">
        <f>'F-09'!B4</f>
        <v/>
      </c>
    </row>
    <row r="20">
      <c r="B20" s="69" t="n">
        <v>10</v>
      </c>
      <c r="C20" s="70">
        <f>'F-10'!B2</f>
        <v/>
      </c>
      <c r="D20" s="71">
        <f>'F-10'!B6</f>
        <v/>
      </c>
      <c r="E20" s="71">
        <f>'F-10'!C6</f>
        <v/>
      </c>
      <c r="F20" s="71">
        <f>'F-10'!D6</f>
        <v/>
      </c>
      <c r="G20" s="71">
        <f>'F-10'!E6</f>
        <v/>
      </c>
      <c r="H20" s="73">
        <f>'F-10'!B4</f>
        <v/>
      </c>
    </row>
    <row r="21">
      <c r="B21" s="69" t="n">
        <v>11</v>
      </c>
      <c r="C21" s="70">
        <f>'WF'!B2</f>
        <v/>
      </c>
      <c r="D21" s="71">
        <f>'WF'!B6</f>
        <v/>
      </c>
      <c r="E21" s="71">
        <f>'WF'!C6</f>
        <v/>
      </c>
      <c r="F21" s="71">
        <f>'WF'!D6</f>
        <v/>
      </c>
      <c r="G21" s="71">
        <f>'WF'!E6</f>
        <v/>
      </c>
      <c r="H21" s="73">
        <f>'WF'!B4</f>
        <v/>
      </c>
    </row>
    <row r="22">
      <c r="B22" s="69" t="n">
        <v>12</v>
      </c>
      <c r="C22" s="70">
        <f>'ST'!B2</f>
        <v/>
      </c>
      <c r="D22" s="71">
        <f>'ST'!B6</f>
        <v/>
      </c>
      <c r="E22" s="71">
        <f>'ST'!C6</f>
        <v/>
      </c>
      <c r="F22" s="71">
        <f>'ST'!D6</f>
        <v/>
      </c>
      <c r="G22" s="71">
        <f>'ST'!E6</f>
        <v/>
      </c>
      <c r="H22" s="73">
        <f>'ST'!B4</f>
        <v/>
      </c>
    </row>
    <row r="23">
      <c r="B23" s="69" t="n">
        <v>13</v>
      </c>
      <c r="C23" s="70">
        <f>'NFR'!B2</f>
        <v/>
      </c>
      <c r="D23" s="71">
        <f>'NFR'!B6</f>
        <v/>
      </c>
      <c r="E23" s="71">
        <f>'NFR'!C6</f>
        <v/>
      </c>
      <c r="F23" s="71">
        <f>'NFR'!D6</f>
        <v/>
      </c>
      <c r="G23" s="71">
        <f>'NFR'!E6</f>
        <v/>
      </c>
      <c r="H23" s="73">
        <f>'NFR'!B4</f>
        <v/>
      </c>
    </row>
    <row r="25">
      <c r="B25" s="74" t="n"/>
      <c r="C25" s="75" t="inlineStr">
        <is>
          <t>Sub total</t>
        </is>
      </c>
      <c r="D25" s="76">
        <f>SUM(D11:D23)</f>
        <v/>
      </c>
      <c r="E25" s="76">
        <f>SUM(E11:E23)</f>
        <v/>
      </c>
      <c r="F25" s="76">
        <f>SUM(F11:F23)</f>
        <v/>
      </c>
      <c r="G25" s="76">
        <f>SUM(G11:G23)</f>
        <v/>
      </c>
      <c r="H25" s="77">
        <f>SUM(H11:H23)</f>
        <v/>
      </c>
    </row>
    <row r="27">
      <c r="C27" t="inlineStr">
        <is>
          <t>Test coverage</t>
        </is>
      </c>
      <c r="E27">
        <f>(D25+E25)*100/(H25-G25)</f>
        <v/>
      </c>
      <c r="F27" t="inlineStr">
        <is>
          <t>%</t>
        </is>
      </c>
    </row>
    <row r="28">
      <c r="C28" t="inlineStr">
        <is>
          <t>Test successful coverage</t>
        </is>
      </c>
      <c r="E28">
        <f>D25*100/(H25-G25)</f>
        <v/>
      </c>
      <c r="F28" t="inlineStr">
        <is>
          <t>%</t>
        </is>
      </c>
    </row>
    <row r="29">
      <c r="C29" t="inlineStr">
        <is>
          <t>Automated in CI</t>
        </is>
      </c>
      <c r="E29" t="n">
        <v>61</v>
      </c>
      <c r="F29" t="inlineStr">
        <is>
          <t>of 75 test cases</t>
        </is>
      </c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rintOptions gridLines="0"/>
  <pageMargins left="0.4" right="0.4" top="0.5" bottom="0.5" header="0.5118055555555556" footer="0.5"/>
  <pageSetup orientation="landscape" paperSize="9" fitToHeight="0" fitToWidth="1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2:T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F-01 Authentication and role-based access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Acceptance criteria of F-01 (Design Brief section 6): main flow, data / business rule, exception or permission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F-01 Authentication and role-based access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TC-F01-01</t>
        </is>
      </c>
      <c r="B12" s="43" t="inlineStr">
        <is>
          <t>[Main] Log in with correct e-mail and password (two-factor not enabled)</t>
        </is>
      </c>
      <c r="C12" s="43" t="inlineStr">
        <is>
          <t>1. Open /login
2. Enter e-mail and password
3. Press Log in</t>
        </is>
      </c>
      <c r="D12" s="103" t="inlineStr">
        <is>
          <t>Access and refresh tokens are issued; the home screen of the role opens</t>
        </is>
      </c>
      <c r="E12" s="103" t="inlineStr">
        <is>
          <t>Active staff account, MFA off</t>
        </is>
      </c>
      <c r="F12" s="42" t="inlineStr">
        <is>
          <t>Passed</t>
        </is>
      </c>
      <c r="G12" s="42" t="inlineStr">
        <is>
          <t>25/10/2026</t>
        </is>
      </c>
      <c r="H12" s="42" t="inlineStr">
        <is>
          <t>GitHub Actions CI</t>
        </is>
      </c>
      <c r="I12" s="42" t="n"/>
      <c r="J12" s="42" t="n"/>
      <c r="K12" s="42" t="n"/>
      <c r="L12" s="42" t="n"/>
      <c r="M12" s="42" t="n"/>
      <c r="N12" s="42" t="n"/>
      <c r="O12" s="45" t="inlineStr">
        <is>
          <t>login success without MFA returns a token pair</t>
        </is>
      </c>
      <c r="P12" s="45" t="inlineStr">
        <is>
          <t>admin@optipackai.com / valid password</t>
        </is>
      </c>
      <c r="Q12" s="45" t="inlineStr">
        <is>
          <t>Automated (Jest, CI) – be/src/modules/auth/auth.service.spec.ts:115</t>
        </is>
      </c>
      <c r="R12" s="45" t="inlineStr">
        <is>
          <t>Passed in CI (GitHub Actions run #258, commit 1a3101c, 25/10/2026)</t>
        </is>
      </c>
    </row>
    <row r="13" outlineLevel="1" ht="14" customHeight="1">
      <c r="A13" s="42" t="inlineStr">
        <is>
          <t>TC-F01-02</t>
        </is>
      </c>
      <c r="B13" s="43" t="inlineStr">
        <is>
          <t>[Rule] Wrong password increases the failed-attempt counter; a locked account is refused</t>
        </is>
      </c>
      <c r="C13" s="43" t="inlineStr">
        <is>
          <t>1. Enter a wrong password
2. Repeat until the account is locked
3. Log in again with the right password</t>
        </is>
      </c>
      <c r="D13" s="103" t="inlineStr">
        <is>
          <t>Each wrong password returns 401 and increments failed_login_attempts; a locked account returns 403 before the password is checked</t>
        </is>
      </c>
      <c r="E13" s="103" t="inlineStr">
        <is>
          <t>Active staff account</t>
        </is>
      </c>
      <c r="F13" s="42" t="inlineStr">
        <is>
          <t>Passed</t>
        </is>
      </c>
      <c r="G13" s="42" t="inlineStr">
        <is>
          <t>25/10/2026</t>
        </is>
      </c>
      <c r="H13" s="42" t="inlineStr">
        <is>
          <t>GitHub Actions CI</t>
        </is>
      </c>
      <c r="I13" s="42" t="n"/>
      <c r="J13" s="42" t="n"/>
      <c r="K13" s="42" t="n"/>
      <c r="L13" s="42" t="n"/>
      <c r="M13" s="42" t="n"/>
      <c r="N13" s="42" t="n"/>
      <c r="O13" s="45" t="inlineStr">
        <is>
          <t>wrong password → 401 and counter increased; locked account → 403 (line 170)</t>
        </is>
      </c>
      <c r="P13" s="45" t="inlineStr">
        <is>
          <t>Wrong password ×5</t>
        </is>
      </c>
      <c r="Q13" s="45" t="inlineStr">
        <is>
          <t>Automated (Jest, CI) – be/src/modules/auth/auth.service.spec.ts:153</t>
        </is>
      </c>
      <c r="R13" s="45" t="inlineStr">
        <is>
          <t>Passed in CI (GitHub Actions run #258, commit 1a3101c, 25/10/2026)</t>
        </is>
      </c>
    </row>
    <row r="14" outlineLevel="1" ht="14" customHeight="1">
      <c r="A14" s="42" t="inlineStr">
        <is>
          <t>TC-F01-03</t>
        </is>
      </c>
      <c r="B14" s="43" t="inlineStr">
        <is>
          <t>[Permission] A role calls an API outside its permissions</t>
        </is>
      </c>
      <c r="C14" s="43" t="inlineStr">
        <is>
          <t>1. Log in as Warehouse Staff
2. Call an Admin-only endpoint</t>
        </is>
      </c>
      <c r="D14" s="103" t="inlineStr">
        <is>
          <t>HTTP 403; the handler is not executed</t>
        </is>
      </c>
      <c r="E14" s="103" t="inlineStr">
        <is>
          <t>Route protected by @Roles(Admin)</t>
        </is>
      </c>
      <c r="F14" s="42" t="inlineStr">
        <is>
          <t>Passed</t>
        </is>
      </c>
      <c r="G14" s="42" t="inlineStr">
        <is>
          <t>25/10/2026</t>
        </is>
      </c>
      <c r="H14" s="42" t="inlineStr">
        <is>
          <t>GitHub Actions CI</t>
        </is>
      </c>
      <c r="I14" s="42" t="n"/>
      <c r="J14" s="42" t="n"/>
      <c r="K14" s="42" t="n"/>
      <c r="L14" s="42" t="n"/>
      <c r="M14" s="42" t="n"/>
      <c r="N14" s="42" t="n"/>
      <c r="O14" s="45" t="inlineStr">
        <is>
          <t>route with @Roles(), user with the wrong role → 403</t>
        </is>
      </c>
      <c r="P14" s="45" t="inlineStr">
        <is>
          <t>Role = WAREHOUSE_STAFF</t>
        </is>
      </c>
      <c r="Q14" s="45" t="inlineStr">
        <is>
          <t>Automated (Jest, CI) – be/src/modules/auth/guards/roles.guard.spec.ts:45</t>
        </is>
      </c>
      <c r="R14" s="45" t="inlineStr">
        <is>
          <t>Passed in CI (GitHub Actions run #258, commit 1a3101c, 25/10/2026)</t>
        </is>
      </c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5" t="n"/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</sheetData>
  <mergeCells count="3">
    <mergeCell ref="B3:E3"/>
    <mergeCell ref="B2:E2"/>
    <mergeCell ref="B4:E4"/>
  </mergeCells>
  <dataValidations count="1">
    <dataValidation sqref="F12:F20 I12:I20 L12:L20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2:T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F-02 Marketplace connection and order sync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Acceptance criteria of F-02 (Design Brief section 6): main flow, data / business rule, exception or permission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F-02 Marketplace connection and order sync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TC-F02-01</t>
        </is>
      </c>
      <c r="B12" s="43" t="inlineStr">
        <is>
          <t>[Main] The scheduler synchronizes a Lazada shop whose sync interval has passed</t>
        </is>
      </c>
      <c r="C12" s="43" t="inlineStr">
        <is>
          <t>1. Set the sync interval to 30 min and turn AURELLE auto-sync off
2. Scheduler tick (every minute)
3. Check which shops are synchronized</t>
        </is>
      </c>
      <c r="D12" s="103" t="inlineStr">
        <is>
          <t>Only the due and never-polled Lazada shops are synchronized; the not-due shop waits for its interval; AURELLE is not scanned</t>
        </is>
      </c>
      <c r="E12" s="103" t="inlineStr">
        <is>
          <t>Lazada shops connected</t>
        </is>
      </c>
      <c r="F12" s="42" t="inlineStr">
        <is>
          <t>Passed</t>
        </is>
      </c>
      <c r="G12" s="42" t="inlineStr">
        <is>
          <t>25/10/2026</t>
        </is>
      </c>
      <c r="H12" s="42" t="inlineStr">
        <is>
          <t>GitHub Actions CI</t>
        </is>
      </c>
      <c r="I12" s="42" t="n"/>
      <c r="J12" s="42" t="n"/>
      <c r="K12" s="42" t="n"/>
      <c r="L12" s="42" t="n"/>
      <c r="M12" s="42" t="n"/>
      <c r="N12" s="42" t="n"/>
      <c r="O12" s="45" t="inlineStr">
        <is>
          <t>scheduler syncs only shops that are due and platforms that are enabled</t>
        </is>
      </c>
      <c r="P12" s="45" t="inlineStr">
        <is>
          <t>Interval 30 min; shop due (last polled 31 min ago), shop not-due (10 min ago), shop never polled; AURELLE auto-sync off</t>
        </is>
      </c>
      <c r="Q12" s="45" t="inlineStr">
        <is>
          <t>Automated (Jest, CI) – be/src/modules/orders/order-sync-settings.spec.ts:179</t>
        </is>
      </c>
      <c r="R12" s="45" t="inlineStr">
        <is>
          <t>Passed in CI (GitHub Actions run #258, commit 1a3101c, 25/10/2026)</t>
        </is>
      </c>
    </row>
    <row r="13" outlineLevel="1" ht="14" customHeight="1">
      <c r="A13" s="42" t="inlineStr">
        <is>
          <t>TC-F02-02</t>
        </is>
      </c>
      <c r="B13" s="43" t="inlineStr">
        <is>
          <t>[Rule] The same webhook event delivered twice creates no second order</t>
        </is>
      </c>
      <c r="C13" s="43" t="inlineStr">
        <is>
          <t>1. Send a webhook
2. Send the same message_id again</t>
        </is>
      </c>
      <c r="D13" s="103" t="inlineStr">
        <is>
          <t>Second delivery is acknowledged (200) without a new sync</t>
        </is>
      </c>
      <c r="E13" s="103" t="inlineStr">
        <is>
          <t>Event already processed</t>
        </is>
      </c>
      <c r="F13" s="42" t="inlineStr">
        <is>
          <t>Passed</t>
        </is>
      </c>
      <c r="G13" s="42" t="inlineStr">
        <is>
          <t>25/10/2026</t>
        </is>
      </c>
      <c r="H13" s="42" t="inlineStr">
        <is>
          <t>GitHub Actions CI</t>
        </is>
      </c>
      <c r="I13" s="42" t="n"/>
      <c r="J13" s="42" t="n"/>
      <c r="K13" s="42" t="n"/>
      <c r="L13" s="42" t="n"/>
      <c r="M13" s="42" t="n"/>
      <c r="N13" s="42" t="n"/>
      <c r="O13" s="45" t="inlineStr">
        <is>
          <t>already processed message_id → ack, no second sync</t>
        </is>
      </c>
      <c r="P13" s="45" t="inlineStr">
        <is>
          <t>Duplicate message_id</t>
        </is>
      </c>
      <c r="Q13" s="45" t="inlineStr">
        <is>
          <t>Automated (Jest, CI) – be/src/modules/marketplace-webhooks/marketplace-webhooks.service.spec.ts:82</t>
        </is>
      </c>
      <c r="R13" s="45" t="inlineStr">
        <is>
          <t>Passed in CI (GitHub Actions run #258, commit 1a3101c, 25/10/2026)</t>
        </is>
      </c>
    </row>
    <row r="14" outlineLevel="1" ht="14" customHeight="1">
      <c r="A14" s="42" t="inlineStr">
        <is>
          <t>TC-F02-03</t>
        </is>
      </c>
      <c r="B14" s="43" t="inlineStr">
        <is>
          <t>[Exception] Webhook with an invalid signature is rejected</t>
        </is>
      </c>
      <c r="C14" s="43" t="inlineStr">
        <is>
          <t>1. Send a webhook with a wrong HMAC signature</t>
        </is>
      </c>
      <c r="D14" s="103" t="inlineStr">
        <is>
          <t>401 MKT_WEBHOOK_SIGNATURE_INVALID; nothing is recorded or synchronized</t>
        </is>
      </c>
      <c r="E14" s="103" t="inlineStr">
        <is>
          <t>AURELLE app secret configured</t>
        </is>
      </c>
      <c r="F14" s="42" t="inlineStr">
        <is>
          <t>Passed</t>
        </is>
      </c>
      <c r="G14" s="42" t="inlineStr">
        <is>
          <t>25/10/2026</t>
        </is>
      </c>
      <c r="H14" s="42" t="inlineStr">
        <is>
          <t>GitHub Actions CI</t>
        </is>
      </c>
      <c r="I14" s="42" t="n"/>
      <c r="J14" s="42" t="n"/>
      <c r="K14" s="42" t="n"/>
      <c r="L14" s="42" t="n"/>
      <c r="M14" s="42" t="n"/>
      <c r="N14" s="42" t="n"/>
      <c r="O14" s="45" t="inlineStr">
        <is>
          <t>wrong signature → 401, no dedupe record, no sync</t>
        </is>
      </c>
      <c r="P14" s="45" t="inlineStr">
        <is>
          <t>Wrong signature</t>
        </is>
      </c>
      <c r="Q14" s="45" t="inlineStr">
        <is>
          <t>Automated (Jest, CI) – be/src/modules/marketplace-webhooks/marketplace-webhooks.service.spec.ts:55</t>
        </is>
      </c>
      <c r="R14" s="45" t="inlineStr">
        <is>
          <t>Passed in CI (GitHub Actions run #258, commit 1a3101c, 25/10/2026)</t>
        </is>
      </c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5" t="n"/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</sheetData>
  <mergeCells count="3">
    <mergeCell ref="B3:E3"/>
    <mergeCell ref="B2:E2"/>
    <mergeCell ref="B4:E4"/>
  </mergeCells>
  <dataValidations count="1">
    <dataValidation sqref="F12:F20 I12:I20 L12:L20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2:T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F-03 Order consolidation and groups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Acceptance criteria of F-03 (Design Brief section 6): main flow, data / business rule, exception or permission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F-03 Order consolidation and groups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TC-F03-01</t>
        </is>
      </c>
      <c r="B12" s="43" t="inlineStr">
        <is>
          <t>[Main] A new order joins the open group of the same recipient</t>
        </is>
      </c>
      <c r="C12" s="43" t="inlineStr">
        <is>
          <t>1. Import order A
2. Import order B with the same phone, address and city</t>
        </is>
      </c>
      <c r="D12" s="103" t="inlineStr">
        <is>
          <t>Order B is added to the group of order A</t>
        </is>
      </c>
      <c r="E12" s="103" t="inlineStr">
        <is>
          <t>Group of order A is still open</t>
        </is>
      </c>
      <c r="F12" s="42" t="inlineStr">
        <is>
          <t>Passed</t>
        </is>
      </c>
      <c r="G12" s="42" t="inlineStr">
        <is>
          <t>25/10/2026</t>
        </is>
      </c>
      <c r="H12" s="42" t="inlineStr">
        <is>
          <t>GitHub Actions CI</t>
        </is>
      </c>
      <c r="I12" s="42" t="n"/>
      <c r="J12" s="42" t="n"/>
      <c r="K12" s="42" t="n"/>
      <c r="L12" s="42" t="n"/>
      <c r="M12" s="42" t="n"/>
      <c r="N12" s="42" t="n"/>
      <c r="O12" s="45" t="inlineStr">
        <is>
          <t>sibling in an open group → joined to that group</t>
        </is>
      </c>
      <c r="P12" s="45" t="inlineStr">
        <is>
          <t>Same consolidation key</t>
        </is>
      </c>
      <c r="Q12" s="45" t="inlineStr">
        <is>
          <t>Automated (Jest, CI) – be/src/modules/orders/orders.service.tryConsolidate.spec.ts:93</t>
        </is>
      </c>
      <c r="R12" s="45" t="inlineStr">
        <is>
          <t>Passed in CI (GitHub Actions run #258, commit 1a3101c, 25/10/2026)</t>
        </is>
      </c>
    </row>
    <row r="13" outlineLevel="1" ht="14" customHeight="1">
      <c r="A13" s="42" t="inlineStr">
        <is>
          <t>TC-F03-02</t>
        </is>
      </c>
      <c r="B13" s="43" t="inlineStr">
        <is>
          <t>[Rule] A group that is already picked does not accept late orders</t>
        </is>
      </c>
      <c r="C13" s="43" t="inlineStr">
        <is>
          <t>1. Pick group of order A
2. Import order B with the same key</t>
        </is>
      </c>
      <c r="D13" s="103" t="inlineStr">
        <is>
          <t>Order B stays standalone (new group)</t>
        </is>
      </c>
      <c r="E13" s="103" t="inlineStr">
        <is>
          <t>Group status picked or later</t>
        </is>
      </c>
      <c r="F13" s="42" t="inlineStr">
        <is>
          <t>Passed</t>
        </is>
      </c>
      <c r="G13" s="42" t="inlineStr">
        <is>
          <t>25/10/2026</t>
        </is>
      </c>
      <c r="H13" s="42" t="inlineStr">
        <is>
          <t>GitHub Actions CI</t>
        </is>
      </c>
      <c r="I13" s="42" t="n"/>
      <c r="J13" s="42" t="n"/>
      <c r="K13" s="42" t="n"/>
      <c r="L13" s="42" t="n"/>
      <c r="M13" s="42" t="n"/>
      <c r="N13" s="42" t="n"/>
      <c r="O13" s="45" t="inlineStr">
        <is>
          <t>sibling in a locked group (picked onward) → not merged</t>
        </is>
      </c>
      <c r="P13" s="45" t="inlineStr">
        <is>
          <t>Same consolidation key</t>
        </is>
      </c>
      <c r="Q13" s="45" t="inlineStr">
        <is>
          <t>Automated (Jest, CI) – be/src/modules/orders/orders.service.tryConsolidate.spec.ts:83</t>
        </is>
      </c>
      <c r="R13" s="45" t="inlineStr">
        <is>
          <t>Passed in CI (GitHub Actions run #258, commit 1a3101c, 25/10/2026)</t>
        </is>
      </c>
    </row>
    <row r="14" outlineLevel="1" ht="14" customHeight="1">
      <c r="A14" s="42" t="inlineStr">
        <is>
          <t>TC-F03-03</t>
        </is>
      </c>
      <c r="B14" s="43" t="inlineStr">
        <is>
          <t>[Exception] Split a group after an item has been scanned</t>
        </is>
      </c>
      <c r="C14" s="43" t="inlineStr">
        <is>
          <t>1. Scan one item of the group
2. Split one order out of the group</t>
        </is>
      </c>
      <c r="D14" s="103" t="inlineStr">
        <is>
          <t>409 REGROUP_HAS_PICKS; data unchanged</t>
        </is>
      </c>
      <c r="E14" s="103" t="inlineStr">
        <is>
          <t>Group in picking with a scan</t>
        </is>
      </c>
      <c r="F14" s="42" t="inlineStr">
        <is>
          <t>Passed</t>
        </is>
      </c>
      <c r="G14" s="42" t="inlineStr">
        <is>
          <t>25/10/2026</t>
        </is>
      </c>
      <c r="H14" s="42" t="inlineStr">
        <is>
          <t>GitHub Actions CI</t>
        </is>
      </c>
      <c r="I14" s="42" t="n"/>
      <c r="J14" s="42" t="n"/>
      <c r="K14" s="42" t="n"/>
      <c r="L14" s="42" t="n"/>
      <c r="M14" s="42" t="n"/>
      <c r="N14" s="42" t="n"/>
      <c r="O14" s="45" t="inlineStr">
        <is>
          <t>already scanned in the current round → 409 REGROUP_HAS_PICKS</t>
        </is>
      </c>
      <c r="P14" s="45" t="inlineStr">
        <is>
          <t>Split request with reason</t>
        </is>
      </c>
      <c r="Q14" s="45" t="inlineStr">
        <is>
          <t>Automated (Jest, CI) – be/src/modules/order-groups/order-groups.service.regroup.spec.ts:138</t>
        </is>
      </c>
      <c r="R14" s="45" t="inlineStr">
        <is>
          <t>Passed in CI (GitHub Actions run #258, commit 1a3101c, 25/10/2026)</t>
        </is>
      </c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5" t="n"/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</sheetData>
  <mergeCells count="3">
    <mergeCell ref="B3:E3"/>
    <mergeCell ref="B2:E2"/>
    <mergeCell ref="B4:E4"/>
  </mergeCells>
  <dataValidations count="1">
    <dataValidation sqref="F12:F20 I12:I20 L12:L20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2:T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F-04 Stock reservation and FIFO lots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Acceptance criteria of F-04 (Design Brief section 6): main flow, data / business rule, exception or permission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F-04 Stock reservation and FIFO lots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TC-F04-01</t>
        </is>
      </c>
      <c r="B12" s="43" t="inlineStr">
        <is>
          <t>[Main] A new group reserves available bin stock</t>
        </is>
      </c>
      <c r="C12" s="43" t="inlineStr">
        <is>
          <t>1. Import an order for a SKU with stock
2. Check the reservation</t>
        </is>
      </c>
      <c r="D12" s="103" t="inlineStr">
        <is>
          <t>1 unit reserved, no shortage flag</t>
        </is>
      </c>
      <c r="E12" s="103" t="inlineStr">
        <is>
          <t>Bin stock 1, nobody reserved</t>
        </is>
      </c>
      <c r="F12" s="42" t="inlineStr">
        <is>
          <t>Passed</t>
        </is>
      </c>
      <c r="G12" s="42" t="inlineStr">
        <is>
          <t>25/10/2026</t>
        </is>
      </c>
      <c r="H12" s="42" t="inlineStr">
        <is>
          <t>GitHub Actions CI</t>
        </is>
      </c>
      <c r="I12" s="42" t="n"/>
      <c r="J12" s="42" t="n"/>
      <c r="K12" s="42" t="n"/>
      <c r="L12" s="42" t="n"/>
      <c r="M12" s="42" t="n"/>
      <c r="N12" s="42" t="n"/>
      <c r="O12" s="45" t="inlineStr">
        <is>
          <t>group 1: bin has 1, nothing reserved → reserves 1, no shortage</t>
        </is>
      </c>
      <c r="P12" s="45" t="inlineStr">
        <is>
          <t>Order quantity 1</t>
        </is>
      </c>
      <c r="Q12" s="45" t="inlineStr">
        <is>
          <t>Automated (Jest, CI) – be/src/modules/order-groups/stock-reservation.service.spec.ts:33</t>
        </is>
      </c>
      <c r="R12" s="45" t="inlineStr">
        <is>
          <t>Passed in CI (GitHub Actions run #258, commit 1a3101c, 25/10/2026)</t>
        </is>
      </c>
    </row>
    <row r="13" outlineLevel="1" ht="14" customHeight="1">
      <c r="A13" s="42" t="inlineStr">
        <is>
          <t>TC-F04-02</t>
        </is>
      </c>
      <c r="B13" s="43" t="inlineStr">
        <is>
          <t>[Rule] Picking consumes the oldest lot first</t>
        </is>
      </c>
      <c r="C13" s="43" t="inlineStr">
        <is>
          <t>1. Receive lot 1 (2 units) and later lot 2
2. Pick 3 units</t>
        </is>
      </c>
      <c r="D13" s="103" t="inlineStr">
        <is>
          <t>Lot 1 is emptied first, then 1 unit from lot 2</t>
        </is>
      </c>
      <c r="E13" s="103" t="inlineStr">
        <is>
          <t>Two lots with different dates</t>
        </is>
      </c>
      <c r="F13" s="42" t="inlineStr">
        <is>
          <t>Passed</t>
        </is>
      </c>
      <c r="G13" s="42" t="inlineStr">
        <is>
          <t>25/10/2026</t>
        </is>
      </c>
      <c r="H13" s="42" t="inlineStr">
        <is>
          <t>GitHub Actions CI</t>
        </is>
      </c>
      <c r="I13" s="42" t="n"/>
      <c r="J13" s="42" t="n"/>
      <c r="K13" s="42" t="n"/>
      <c r="L13" s="42" t="n"/>
      <c r="M13" s="42" t="n"/>
      <c r="N13" s="42" t="n"/>
      <c r="O13" s="45" t="inlineStr">
        <is>
          <t>2 lots, take 3 → old lot (2) first, then 1 from the new lot</t>
        </is>
      </c>
      <c r="P13" s="45" t="inlineStr">
        <is>
          <t>Lot 1 = 2, lot 2 = 2; pick 3</t>
        </is>
      </c>
      <c r="Q13" s="45" t="inlineStr">
        <is>
          <t>Automated (Jest, CI) – be/src/modules/warehouse/stock-lot.ledger.spec.ts:149</t>
        </is>
      </c>
      <c r="R13" s="45" t="inlineStr">
        <is>
          <t>Passed in CI (GitHub Actions run #258, commit 1a3101c, 25/10/2026)</t>
        </is>
      </c>
    </row>
    <row r="14" outlineLevel="1" ht="14" customHeight="1">
      <c r="A14" s="42" t="inlineStr">
        <is>
          <t>TC-F04-03</t>
        </is>
      </c>
      <c r="B14" s="43" t="inlineStr">
        <is>
          <t>[Exception] A second group cannot reserve stock already reserved by another group</t>
        </is>
      </c>
      <c r="C14" s="43" t="inlineStr">
        <is>
          <t>1. Group 1 reserves the last unit
2. Import group 2 for the same SKU</t>
        </is>
      </c>
      <c r="D14" s="103" t="inlineStr">
        <is>
          <t>Group 2 reserves 0 and is flagged stock shortage</t>
        </is>
      </c>
      <c r="E14" s="103" t="inlineStr">
        <is>
          <t>Bin stock 1 reserved by group 1</t>
        </is>
      </c>
      <c r="F14" s="42" t="inlineStr">
        <is>
          <t>Passed</t>
        </is>
      </c>
      <c r="G14" s="42" t="inlineStr">
        <is>
          <t>25/10/2026</t>
        </is>
      </c>
      <c r="H14" s="42" t="inlineStr">
        <is>
          <t>GitHub Actions CI</t>
        </is>
      </c>
      <c r="I14" s="42" t="n"/>
      <c r="J14" s="42" t="n"/>
      <c r="K14" s="42" t="n"/>
      <c r="L14" s="42" t="n"/>
      <c r="M14" s="42" t="n"/>
      <c r="N14" s="42" t="n"/>
      <c r="O14" s="45" t="inlineStr">
        <is>
          <t>group 2: stock already reserved → reserves 0, stock-shortage flag</t>
        </is>
      </c>
      <c r="P14" s="45" t="inlineStr">
        <is>
          <t>Order quantity 1</t>
        </is>
      </c>
      <c r="Q14" s="45" t="inlineStr">
        <is>
          <t>Automated (Jest, CI) – be/src/modules/order-groups/stock-reservation.service.spec.ts:44</t>
        </is>
      </c>
      <c r="R14" s="45" t="inlineStr">
        <is>
          <t>Passed in CI (GitHub Actions run #258, commit 1a3101c, 25/10/2026)</t>
        </is>
      </c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5" t="n"/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</sheetData>
  <mergeCells count="3">
    <mergeCell ref="B3:E3"/>
    <mergeCell ref="B2:E2"/>
    <mergeCell ref="B4:E4"/>
  </mergeCells>
  <dataValidations count="1">
    <dataValidation sqref="F12:F20 I12:I20 L12:L20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2:T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F-05 Picking with missing-item handling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Acceptance criteria of F-05 (Design Brief section 6): main flow, data / business rule, exception or permission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F-05 Picking with missing-item handling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TC-F05-01</t>
        </is>
      </c>
      <c r="B12" s="43" t="inlineStr">
        <is>
          <t>[Main] Scan the correct SKU of the group</t>
        </is>
      </c>
      <c r="C12" s="43" t="inlineStr">
        <is>
          <t>1. Open Warehouse Picking
2. Scan an item of the group</t>
        </is>
      </c>
      <c r="D12" s="103" t="inlineStr">
        <is>
          <t>Bin stock is decremented and a pick event is written in the same transaction</t>
        </is>
      </c>
      <c r="E12" s="103" t="inlineStr">
        <is>
          <t>Group in picking, stock in bin</t>
        </is>
      </c>
      <c r="F12" s="42" t="inlineStr">
        <is>
          <t>Passed</t>
        </is>
      </c>
      <c r="G12" s="42" t="inlineStr">
        <is>
          <t>25/10/2026</t>
        </is>
      </c>
      <c r="H12" s="42" t="inlineStr">
        <is>
          <t>GitHub Actions CI</t>
        </is>
      </c>
      <c r="I12" s="42" t="n"/>
      <c r="J12" s="42" t="n"/>
      <c r="K12" s="42" t="n"/>
      <c r="L12" s="42" t="n"/>
      <c r="M12" s="42" t="n"/>
      <c r="N12" s="42" t="n"/>
      <c r="O12" s="45" t="inlineStr">
        <is>
          <t>correct SKU → stock decremented + event in one transaction</t>
        </is>
      </c>
      <c r="P12" s="45" t="inlineStr">
        <is>
          <t>SKU of the group</t>
        </is>
      </c>
      <c r="Q12" s="45" t="inlineStr">
        <is>
          <t>Automated (Jest, CI) – be/src/modules/order-groups/order-groups.service.pickItem.spec.ts:143</t>
        </is>
      </c>
      <c r="R12" s="45" t="inlineStr">
        <is>
          <t>Passed in CI (GitHub Actions run #258, commit 1a3101c, 25/10/2026)</t>
        </is>
      </c>
    </row>
    <row r="13" outlineLevel="1" ht="14" customHeight="1">
      <c r="A13" s="42" t="inlineStr">
        <is>
          <t>TC-F05-02</t>
        </is>
      </c>
      <c r="B13" s="43" t="inlineStr">
        <is>
          <t>[Rule] Scanning more than the ordered quantity is rejected</t>
        </is>
      </c>
      <c r="C13" s="43" t="inlineStr">
        <is>
          <t>1. Scan a SKU beyond its ordered quantity</t>
        </is>
      </c>
      <c r="D13" s="103" t="inlineStr">
        <is>
          <t>ORD_GROUP_PICK_EXCEEDS_ORDERED; stock unchanged</t>
        </is>
      </c>
      <c r="E13" s="103" t="inlineStr">
        <is>
          <t>SKU already fully picked</t>
        </is>
      </c>
      <c r="F13" s="42" t="inlineStr">
        <is>
          <t>Passed</t>
        </is>
      </c>
      <c r="G13" s="42" t="inlineStr">
        <is>
          <t>25/10/2026</t>
        </is>
      </c>
      <c r="H13" s="42" t="inlineStr">
        <is>
          <t>GitHub Actions CI</t>
        </is>
      </c>
      <c r="I13" s="42" t="n"/>
      <c r="J13" s="42" t="n"/>
      <c r="K13" s="42" t="n"/>
      <c r="L13" s="42" t="n"/>
      <c r="M13" s="42" t="n"/>
      <c r="N13" s="42" t="n"/>
      <c r="O13" s="45" t="inlineStr">
        <is>
          <t>scan over ordered quantity → ORD_GROUP_PICK_EXCEEDS_ORDERED</t>
        </is>
      </c>
      <c r="P13" s="45" t="inlineStr">
        <is>
          <t>Extra scan</t>
        </is>
      </c>
      <c r="Q13" s="45" t="inlineStr">
        <is>
          <t>Automated (Jest, CI) – be/src/modules/order-groups/order-groups.service.pickItem.spec.ts:286</t>
        </is>
      </c>
      <c r="R13" s="45" t="inlineStr">
        <is>
          <t>Passed in CI (GitHub Actions run #258, commit 1a3101c, 25/10/2026)</t>
        </is>
      </c>
    </row>
    <row r="14" outlineLevel="1" ht="14" customHeight="1">
      <c r="A14" s="42" t="inlineStr">
        <is>
          <t>TC-F05-03</t>
        </is>
      </c>
      <c r="B14" s="43" t="inlineStr">
        <is>
          <t>[Exception] Confirm picking while items are missing</t>
        </is>
      </c>
      <c r="C14" s="43" t="inlineStr">
        <is>
          <t>1. Scan only part of the items
2. Press Complete picking</t>
        </is>
      </c>
      <c r="D14" s="103" t="inlineStr">
        <is>
          <t>ORD_GROUP_PICK_INCOMPLETE with the list of missing items</t>
        </is>
      </c>
      <c r="E14" s="103" t="inlineStr">
        <is>
          <t>Group in picking</t>
        </is>
      </c>
      <c r="F14" s="42" t="inlineStr">
        <is>
          <t>Passed</t>
        </is>
      </c>
      <c r="G14" s="42" t="inlineStr">
        <is>
          <t>25/10/2026</t>
        </is>
      </c>
      <c r="H14" s="42" t="inlineStr">
        <is>
          <t>GitHub Actions CI</t>
        </is>
      </c>
      <c r="I14" s="42" t="n"/>
      <c r="J14" s="42" t="n"/>
      <c r="K14" s="42" t="n"/>
      <c r="L14" s="42" t="n"/>
      <c r="M14" s="42" t="n"/>
      <c r="N14" s="42" t="n"/>
      <c r="O14" s="45" t="inlineStr">
        <is>
          <t>confirmPicked with missing items → ORD_GROUP_PICK_INCOMPLETE</t>
        </is>
      </c>
      <c r="P14" s="45" t="inlineStr">
        <is>
          <t>Missing SKU</t>
        </is>
      </c>
      <c r="Q14" s="45" t="inlineStr">
        <is>
          <t>Automated (Jest, CI) – be/src/modules/order-groups/order-groups.service.pickItem.spec.ts:330</t>
        </is>
      </c>
      <c r="R14" s="45" t="inlineStr">
        <is>
          <t>Passed in CI (GitHub Actions run #258, commit 1a3101c, 25/10/2026)</t>
        </is>
      </c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5" t="n"/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</sheetData>
  <mergeCells count="3">
    <mergeCell ref="B3:E3"/>
    <mergeCell ref="B2:E2"/>
    <mergeCell ref="B4:E4"/>
  </mergeCells>
  <dataValidations count="1">
    <dataValidation sqref="F12:F20 I12:I20 L12:L20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2:T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F-06 3D packing plan, approval and packing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Acceptance criteria of F-06 (Design Brief section 6): main flow, data / business rule, exception or permission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F-06 3D packing plan, approval and packing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TC-F06-01</t>
        </is>
      </c>
      <c r="B12" s="43" t="inlineStr">
        <is>
          <t>[Main] Compute packing plans for a picked group</t>
        </is>
      </c>
      <c r="C12" s="43" t="inlineStr">
        <is>
          <t>1. Group reaches picked
2. Packing job computes the plan</t>
        </is>
      </c>
      <c r="D12" s="103" t="inlineStr">
        <is>
          <t>A ready plan for every order, parcels numbered 1..N, group → pending_approval, Packaging Staff notified</t>
        </is>
      </c>
      <c r="E12" s="103" t="inlineStr">
        <is>
          <t>All SKU profiles confirmed</t>
        </is>
      </c>
      <c r="F12" s="42" t="inlineStr">
        <is>
          <t>Passed</t>
        </is>
      </c>
      <c r="G12" s="42" t="inlineStr">
        <is>
          <t>25/10/2026</t>
        </is>
      </c>
      <c r="H12" s="42" t="inlineStr">
        <is>
          <t>GitHub Actions CI</t>
        </is>
      </c>
      <c r="I12" s="42" t="n"/>
      <c r="J12" s="42" t="n"/>
      <c r="K12" s="42" t="n"/>
      <c r="L12" s="42" t="n"/>
      <c r="M12" s="42" t="n"/>
      <c r="N12" s="42" t="n"/>
      <c r="O12" s="45" t="inlineStr">
        <is>
          <t>ready plan for every order, group → pending_approval</t>
        </is>
      </c>
      <c r="P12" s="45" t="inlineStr">
        <is>
          <t>Picked group</t>
        </is>
      </c>
      <c r="Q12" s="45" t="inlineStr">
        <is>
          <t>Automated (Jest, CI) – be/src/modules/packing/packing-plan.service.spec.ts:275</t>
        </is>
      </c>
      <c r="R12" s="45" t="inlineStr">
        <is>
          <t>Passed in CI (GitHub Actions run #258, commit 1a3101c, 25/10/2026)</t>
        </is>
      </c>
    </row>
    <row r="13" outlineLevel="1" ht="14" customHeight="1">
      <c r="A13" s="42" t="inlineStr">
        <is>
          <t>TC-F06-02</t>
        </is>
      </c>
      <c r="B13" s="43" t="inlineStr">
        <is>
          <t>[Rule] Nothing is placed on top of a fragile item</t>
        </is>
      </c>
      <c r="C13" s="43" t="inlineStr">
        <is>
          <t>1. Compute a plan for an order with a fragile item</t>
        </is>
      </c>
      <c r="D13" s="103" t="inlineStr">
        <is>
          <t>No item is placed above the fragile item</t>
        </is>
      </c>
      <c r="E13" s="103" t="inlineStr">
        <is>
          <t>Fragile SKU in the order</t>
        </is>
      </c>
      <c r="F13" s="42" t="inlineStr">
        <is>
          <t>Passed</t>
        </is>
      </c>
      <c r="G13" s="42" t="inlineStr">
        <is>
          <t>25/10/2026</t>
        </is>
      </c>
      <c r="H13" s="42" t="inlineStr">
        <is>
          <t>GitHub Actions CI</t>
        </is>
      </c>
      <c r="I13" s="42" t="n"/>
      <c r="J13" s="42" t="n"/>
      <c r="K13" s="42" t="n"/>
      <c r="L13" s="42" t="n"/>
      <c r="M13" s="42" t="n"/>
      <c r="N13" s="42" t="n"/>
      <c r="O13" s="45" t="inlineStr">
        <is>
          <t>fragile item has nothing placed on top</t>
        </is>
      </c>
      <c r="P13" s="45" t="inlineStr">
        <is>
          <t>Fragile item + other items</t>
        </is>
      </c>
      <c r="Q13" s="45" t="inlineStr">
        <is>
          <t>Automated (Jest, CI) – be/src/modules/packing/solver/solver.spec.ts:79</t>
        </is>
      </c>
      <c r="R13" s="45" t="inlineStr">
        <is>
          <t>Passed in CI (GitHub Actions run #258, commit 1a3101c, 25/10/2026)</t>
        </is>
      </c>
    </row>
    <row r="14" outlineLevel="1" ht="14" customHeight="1">
      <c r="A14" s="42" t="inlineStr">
        <is>
          <t>TC-F06-03</t>
        </is>
      </c>
      <c r="B14" s="43" t="inlineStr">
        <is>
          <t>[Exception] Compute a plan for a group that is not picked yet</t>
        </is>
      </c>
      <c r="C14" s="43" t="inlineStr">
        <is>
          <t>1. Request a plan for a group still in picking</t>
        </is>
      </c>
      <c r="D14" s="103" t="inlineStr">
        <is>
          <t>PACKING_WRONG_PLAN_STATUS; no plan created</t>
        </is>
      </c>
      <c r="E14" s="103" t="inlineStr">
        <is>
          <t>Group status picking</t>
        </is>
      </c>
      <c r="F14" s="42" t="inlineStr">
        <is>
          <t>Passed</t>
        </is>
      </c>
      <c r="G14" s="42" t="inlineStr">
        <is>
          <t>25/10/2026</t>
        </is>
      </c>
      <c r="H14" s="42" t="inlineStr">
        <is>
          <t>GitHub Actions CI</t>
        </is>
      </c>
      <c r="I14" s="42" t="n"/>
      <c r="J14" s="42" t="n"/>
      <c r="K14" s="42" t="n"/>
      <c r="L14" s="42" t="n"/>
      <c r="M14" s="42" t="n"/>
      <c r="N14" s="42" t="n"/>
      <c r="O14" s="45" t="inlineStr">
        <is>
          <t>group not fully picked → PACKING_WRONG_PLAN_STATUS</t>
        </is>
      </c>
      <c r="P14" s="45" t="inlineStr">
        <is>
          <t>Group id</t>
        </is>
      </c>
      <c r="Q14" s="45" t="inlineStr">
        <is>
          <t>Automated (Jest, CI) – be/src/modules/packing/packing-plan.service.spec.ts:294</t>
        </is>
      </c>
      <c r="R14" s="45" t="inlineStr">
        <is>
          <t>Passed in CI (GitHub Actions run #258, commit 1a3101c, 25/10/2026)</t>
        </is>
      </c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5" t="n"/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</sheetData>
  <mergeCells count="3">
    <mergeCell ref="B3:E3"/>
    <mergeCell ref="B2:E2"/>
    <mergeCell ref="B4:E4"/>
  </mergeCells>
  <dataValidations count="1">
    <dataValidation sqref="F12:F20 I12:I20 L12:L20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 fitToPage="1"/>
  </sheetPr>
  <dimension ref="A2:T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F-07 Shipping with GHN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Acceptance criteria of F-07 (Design Brief section 6): main flow, data / business rule, exception or permission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F-07 Shipping with GHN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TC-F07-01</t>
        </is>
      </c>
      <c r="B12" s="43" t="inlineStr">
        <is>
          <t>[Main] Create a GHN shipment for a packed group</t>
        </is>
      </c>
      <c r="C12" s="43" t="inlineStr">
        <is>
          <t>1. Open Shipping &amp; Fulfillment
2. Choose a quote
3. Create shipment</t>
        </is>
      </c>
      <c r="D12" s="103" t="inlineStr">
        <is>
          <t>Shipment awaiting_pickup, each parcel has client_order_code, group → shipped, GHN codes stored</t>
        </is>
      </c>
      <c r="E12" s="103" t="inlineStr">
        <is>
          <t>Group packed</t>
        </is>
      </c>
      <c r="F12" s="42" t="inlineStr">
        <is>
          <t>Passed</t>
        </is>
      </c>
      <c r="G12" s="42" t="inlineStr">
        <is>
          <t>25/10/2026</t>
        </is>
      </c>
      <c r="H12" s="42" t="inlineStr">
        <is>
          <t>GitHub Actions CI</t>
        </is>
      </c>
      <c r="I12" s="42" t="n"/>
      <c r="J12" s="42" t="n"/>
      <c r="K12" s="42" t="n"/>
      <c r="L12" s="42" t="n"/>
      <c r="M12" s="42" t="n"/>
      <c r="N12" s="42" t="n"/>
      <c r="O12" s="45" t="inlineStr">
        <is>
          <t>shipment starts awaiting pickup, parcels have client_order_code, group → shipped</t>
        </is>
      </c>
      <c r="P12" s="45" t="inlineStr">
        <is>
          <t>GHN service, parcels</t>
        </is>
      </c>
      <c r="Q12" s="45" t="inlineStr">
        <is>
          <t>Automated (Jest, CI) – be/src/modules/shipments/shipments.service.carrier.spec.ts:124</t>
        </is>
      </c>
      <c r="R12" s="45" t="inlineStr">
        <is>
          <t>Passed in CI (GitHub Actions run #258, commit 1a3101c, 25/10/2026)</t>
        </is>
      </c>
    </row>
    <row r="13" outlineLevel="1" ht="14" customHeight="1">
      <c r="A13" s="42" t="inlineStr">
        <is>
          <t>TC-F07-02</t>
        </is>
      </c>
      <c r="B13" s="43" t="inlineStr">
        <is>
          <t>[Rule] Second failed delivery returns the shipment to the warehouse (no carrier API)</t>
        </is>
      </c>
      <c r="C13" s="43" t="inlineStr">
        <is>
          <t>1. Record failed delivery
2. Record a second failed delivery</t>
        </is>
      </c>
      <c r="D13" s="103" t="inlineStr">
        <is>
          <t>Shipment moves automatically to returning_to_warehouse; two events recorded</t>
        </is>
      </c>
      <c r="E13" s="103" t="inlineStr">
        <is>
          <t>Shipment out for delivery, manual carrier</t>
        </is>
      </c>
      <c r="F13" s="42" t="inlineStr">
        <is>
          <t>Passed</t>
        </is>
      </c>
      <c r="G13" s="42" t="inlineStr">
        <is>
          <t>25/10/2026</t>
        </is>
      </c>
      <c r="H13" s="42" t="inlineStr">
        <is>
          <t>GitHub Actions CI</t>
        </is>
      </c>
      <c r="I13" s="42" t="n"/>
      <c r="J13" s="42" t="n"/>
      <c r="K13" s="42" t="n"/>
      <c r="L13" s="42" t="n"/>
      <c r="M13" s="42" t="n"/>
      <c r="N13" s="42" t="n"/>
      <c r="O13" s="45" t="inlineStr">
        <is>
          <t>2nd failure → returning_to_warehouse automatically</t>
        </is>
      </c>
      <c r="P13" s="45" t="inlineStr">
        <is>
          <t>Reason: customer unreachable</t>
        </is>
      </c>
      <c r="Q13" s="45" t="inlineStr">
        <is>
          <t>Automated (Jest, CI) – be/src/modules/shipments/shipments.service.spec.ts:91</t>
        </is>
      </c>
      <c r="R13" s="45" t="inlineStr">
        <is>
          <t>Passed in CI (GitHub Actions run #258, commit 1a3101c, 25/10/2026)</t>
        </is>
      </c>
    </row>
    <row r="14" outlineLevel="1" ht="14" customHeight="1">
      <c r="A14" s="42" t="inlineStr">
        <is>
          <t>TC-F07-03</t>
        </is>
      </c>
      <c r="B14" s="43" t="inlineStr">
        <is>
          <t>[Exception] GHN rejects the address of a parcel</t>
        </is>
      </c>
      <c r="C14" s="43" t="inlineStr">
        <is>
          <t>1. Create shipment with an invalid address</t>
        </is>
      </c>
      <c r="D14" s="103" t="inlineStr">
        <is>
          <t>Shipment kept, carrier_booking_error recorded, no CARRIER_BOOKED event</t>
        </is>
      </c>
      <c r="E14" s="103" t="inlineStr">
        <is>
          <t>Group packed</t>
        </is>
      </c>
      <c r="F14" s="42" t="inlineStr">
        <is>
          <t>Passed</t>
        </is>
      </c>
      <c r="G14" s="42" t="inlineStr">
        <is>
          <t>25/10/2026</t>
        </is>
      </c>
      <c r="H14" s="42" t="inlineStr">
        <is>
          <t>GitHub Actions CI</t>
        </is>
      </c>
      <c r="I14" s="42" t="n"/>
      <c r="J14" s="42" t="n"/>
      <c r="K14" s="42" t="n"/>
      <c r="L14" s="42" t="n"/>
      <c r="M14" s="42" t="n"/>
      <c r="N14" s="42" t="n"/>
      <c r="O14" s="45" t="inlineStr">
        <is>
          <t>carrier reports a wrong address → booking error recorded</t>
        </is>
      </c>
      <c r="P14" s="45" t="inlineStr">
        <is>
          <t>Wrong ward / address</t>
        </is>
      </c>
      <c r="Q14" s="45" t="inlineStr">
        <is>
          <t>Automated (Jest, CI) – be/src/modules/shipments/shipments.service.carrier.spec.ts:147</t>
        </is>
      </c>
      <c r="R14" s="45" t="inlineStr">
        <is>
          <t>Passed in CI (GitHub Actions run #258, commit 1a3101c, 25/10/2026)</t>
        </is>
      </c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5" t="n"/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</sheetData>
  <mergeCells count="3">
    <mergeCell ref="B3:E3"/>
    <mergeCell ref="B2:E2"/>
    <mergeCell ref="B4:E4"/>
  </mergeCells>
  <dataValidations count="1">
    <dataValidation sqref="F12:F20 I12:I20 L12:L20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 fitToPage="1"/>
  </sheetPr>
  <dimension ref="A2:T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F-08 Returns and exchanges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Acceptance criteria of F-08 (Design Brief section 6): main flow, data / business rule, exception or permission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F-08 Returns and exchanges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TC-F08-01</t>
        </is>
      </c>
      <c r="B12" s="43" t="inlineStr">
        <is>
          <t>[Main] Customer requests a return on AURELLE</t>
        </is>
      </c>
      <c r="C12" s="43" t="inlineStr">
        <is>
          <t>1. Open Order Detail of a delivered order
2. Press Request return
3. Submit</t>
        </is>
      </c>
      <c r="D12" s="103" t="inlineStr">
        <is>
          <t>Request created, customer timeline updated, OptiPack notified by webhook</t>
        </is>
      </c>
      <c r="E12" s="103" t="inlineStr">
        <is>
          <t>Order delivered ≤ 15 days ago</t>
        </is>
      </c>
      <c r="F12" s="42" t="inlineStr">
        <is>
          <t>Passed</t>
        </is>
      </c>
      <c r="G12" s="42" t="inlineStr">
        <is>
          <t>25/10/2026</t>
        </is>
      </c>
      <c r="H12" s="42" t="inlineStr">
        <is>
          <t>GitHub Actions CI</t>
        </is>
      </c>
      <c r="I12" s="42" t="n"/>
      <c r="J12" s="42" t="n"/>
      <c r="K12" s="42" t="n"/>
      <c r="L12" s="42" t="n"/>
      <c r="M12" s="42" t="n"/>
      <c r="N12" s="42" t="n"/>
      <c r="O12" s="45" t="inlineStr">
        <is>
          <t>valid request created and OptiPack notified</t>
        </is>
      </c>
      <c r="P12" s="45" t="inlineStr">
        <is>
          <t>Return &amp; refund, 1 item</t>
        </is>
      </c>
      <c r="Q12" s="45" t="inlineStr">
        <is>
          <t>Automated (Jest, CI) – be/src/modules/storefront/storefront-returns.service.spec.ts:107</t>
        </is>
      </c>
      <c r="R12" s="45" t="inlineStr">
        <is>
          <t>Passed in CI (GitHub Actions run #258, commit 1a3101c, 25/10/2026)</t>
        </is>
      </c>
    </row>
    <row r="13" outlineLevel="1" ht="14" customHeight="1">
      <c r="A13" s="42" t="inlineStr">
        <is>
          <t>TC-F08-02</t>
        </is>
      </c>
      <c r="B13" s="43" t="inlineStr">
        <is>
          <t>[Rule] Return requested more than 15 days after delivery</t>
        </is>
      </c>
      <c r="C13" s="43" t="inlineStr">
        <is>
          <t>1. Create a return for an order delivered 16 days ago</t>
        </is>
      </c>
      <c r="D13" s="103" t="inlineStr">
        <is>
          <t>409 RMA_WINDOW_EXPIRED</t>
        </is>
      </c>
      <c r="E13" s="103" t="inlineStr">
        <is>
          <t>Delivered order</t>
        </is>
      </c>
      <c r="F13" s="42" t="inlineStr">
        <is>
          <t>Passed</t>
        </is>
      </c>
      <c r="G13" s="42" t="inlineStr">
        <is>
          <t>25/10/2026</t>
        </is>
      </c>
      <c r="H13" s="42" t="inlineStr">
        <is>
          <t>GitHub Actions CI</t>
        </is>
      </c>
      <c r="I13" s="42" t="n"/>
      <c r="J13" s="42" t="n"/>
      <c r="K13" s="42" t="n"/>
      <c r="L13" s="42" t="n"/>
      <c r="M13" s="42" t="n"/>
      <c r="N13" s="42" t="n"/>
      <c r="O13" s="45" t="inlineStr">
        <is>
          <t>more than 15 days since delivery → 409 RMA_WINDOW_EXPIRED</t>
        </is>
      </c>
      <c r="P13" s="45" t="inlineStr">
        <is>
          <t>Delivered at = today − 16 days</t>
        </is>
      </c>
      <c r="Q13" s="45" t="inlineStr">
        <is>
          <t>Automated (Jest, CI) – be/src/modules/shipments/returns.service.spec.ts:73</t>
        </is>
      </c>
      <c r="R13" s="45" t="inlineStr">
        <is>
          <t>Passed in CI (GitHub Actions run #258, commit 1a3101c, 25/10/2026)</t>
        </is>
      </c>
    </row>
    <row r="14" outlineLevel="1" ht="14" customHeight="1">
      <c r="A14" s="42" t="inlineStr">
        <is>
          <t>TC-F08-03</t>
        </is>
      </c>
      <c r="B14" s="43" t="inlineStr">
        <is>
          <t>[Permission] The creator of a return ticket approves it</t>
        </is>
      </c>
      <c r="C14" s="43" t="inlineStr">
        <is>
          <t>1. User A creates a ticket
2. User A approves it</t>
        </is>
      </c>
      <c r="D14" s="103" t="inlineStr">
        <is>
          <t>403 RMA_SELF_APPROVAL</t>
        </is>
      </c>
      <c r="E14" s="103" t="inlineStr">
        <is>
          <t>Ticket requested</t>
        </is>
      </c>
      <c r="F14" s="42" t="inlineStr">
        <is>
          <t>Passed</t>
        </is>
      </c>
      <c r="G14" s="42" t="inlineStr">
        <is>
          <t>25/10/2026</t>
        </is>
      </c>
      <c r="H14" s="42" t="inlineStr">
        <is>
          <t>GitHub Actions CI</t>
        </is>
      </c>
      <c r="I14" s="42" t="n"/>
      <c r="J14" s="42" t="n"/>
      <c r="K14" s="42" t="n"/>
      <c r="L14" s="42" t="n"/>
      <c r="M14" s="42" t="n"/>
      <c r="N14" s="42" t="n"/>
      <c r="O14" s="45" t="inlineStr">
        <is>
          <t>creator approves own ticket → 403 RMA_SELF_APPROVAL</t>
        </is>
      </c>
      <c r="P14" s="45" t="inlineStr">
        <is>
          <t>Same user</t>
        </is>
      </c>
      <c r="Q14" s="45" t="inlineStr">
        <is>
          <t>Automated (Jest, CI) – be/src/modules/shipments/returns.service.spec.ts:113</t>
        </is>
      </c>
      <c r="R14" s="45" t="inlineStr">
        <is>
          <t>Passed in CI (GitHub Actions run #258, commit 1a3101c, 25/10/2026)</t>
        </is>
      </c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5" t="n"/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</sheetData>
  <mergeCells count="3">
    <mergeCell ref="B3:E3"/>
    <mergeCell ref="B2:E2"/>
    <mergeCell ref="B4:E4"/>
  </mergeCells>
  <dataValidations count="1">
    <dataValidation sqref="F12:F20 I12:I20 L12:L20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 fitToPage="1"/>
  </sheetPr>
  <dimension ref="A2:T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F-09 AURELLE web store and order tracking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Acceptance criteria of F-09 (Design Brief section 6): main flow, data / business rule, exception or permission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F-09 AURELLE web store and order tracking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TC-F09-01</t>
        </is>
      </c>
      <c r="B12" s="43" t="inlineStr">
        <is>
          <t>[Main] A newly placed order shows the 7-step progress bar</t>
        </is>
      </c>
      <c r="C12" s="43" t="inlineStr">
        <is>
          <t>1. Place an order on AURELLE
2. Open Order Detail</t>
        </is>
      </c>
      <c r="D12" s="103" t="inlineStr">
        <is>
          <t>7 steps shown, "Placed" is current with the order time</t>
        </is>
      </c>
      <c r="E12" s="103" t="inlineStr">
        <is>
          <t>Customer logged in</t>
        </is>
      </c>
      <c r="F12" s="42" t="inlineStr">
        <is>
          <t>Passed</t>
        </is>
      </c>
      <c r="G12" s="42" t="inlineStr">
        <is>
          <t>25/10/2026</t>
        </is>
      </c>
      <c r="H12" s="42" t="inlineStr">
        <is>
          <t>GitHub Actions CI</t>
        </is>
      </c>
      <c r="I12" s="42" t="n"/>
      <c r="J12" s="42" t="n"/>
      <c r="K12" s="42" t="n"/>
      <c r="L12" s="42" t="n"/>
      <c r="M12" s="42" t="n"/>
      <c r="N12" s="42" t="n"/>
      <c r="O12" s="45" t="inlineStr">
        <is>
          <t>new order: 7 steps, "Placed" current</t>
        </is>
      </c>
      <c r="P12" s="45" t="inlineStr">
        <is>
          <t>New order</t>
        </is>
      </c>
      <c r="Q12" s="45" t="inlineStr">
        <is>
          <t>Automated (Jest, CI) – be/src/modules/storefront/storefront-order-progress.spec.ts:7</t>
        </is>
      </c>
      <c r="R12" s="45" t="inlineStr">
        <is>
          <t>Passed in CI (GitHub Actions run #258, commit 1a3101c, 25/10/2026)</t>
        </is>
      </c>
    </row>
    <row r="13" outlineLevel="1" ht="14" customHeight="1">
      <c r="A13" s="42" t="inlineStr">
        <is>
          <t>TC-F09-02</t>
        </is>
      </c>
      <c r="B13" s="43" t="inlineStr">
        <is>
          <t>[Rule] An older status event never moves the order backwards</t>
        </is>
      </c>
      <c r="C13" s="43" t="inlineStr">
        <is>
          <t>1. Send shipped
2. Send an older packed event</t>
        </is>
      </c>
      <c r="D13" s="103" t="inlineStr">
        <is>
          <t>History stored, order status not moved back</t>
        </is>
      </c>
      <c r="E13" s="103" t="inlineStr">
        <is>
          <t>Order already shipped</t>
        </is>
      </c>
      <c r="F13" s="42" t="inlineStr">
        <is>
          <t>Passed</t>
        </is>
      </c>
      <c r="G13" s="42" t="inlineStr">
        <is>
          <t>25/10/2026</t>
        </is>
      </c>
      <c r="H13" s="42" t="inlineStr">
        <is>
          <t>GitHub Actions CI</t>
        </is>
      </c>
      <c r="I13" s="42" t="n"/>
      <c r="J13" s="42" t="n"/>
      <c r="K13" s="42" t="n"/>
      <c r="L13" s="42" t="n"/>
      <c r="M13" s="42" t="n"/>
      <c r="N13" s="42" t="n"/>
      <c r="O13" s="45" t="inlineStr">
        <is>
          <t>older event stored but does not move the order back</t>
        </is>
      </c>
      <c r="P13" s="45" t="inlineStr">
        <is>
          <t>Out-of-order events</t>
        </is>
      </c>
      <c r="Q13" s="45" t="inlineStr">
        <is>
          <t>Automated (Jest, CI) – be/src/modules/storefront/aurelle-status-update.spec.ts:112</t>
        </is>
      </c>
      <c r="R13" s="45" t="inlineStr">
        <is>
          <t>Passed in CI (GitHub Actions run #258, commit 1a3101c, 25/10/2026)</t>
        </is>
      </c>
    </row>
    <row r="14" outlineLevel="1" ht="14" customHeight="1">
      <c r="A14" s="42" t="inlineStr">
        <is>
          <t>TC-F09-03</t>
        </is>
      </c>
      <c r="B14" s="43" t="inlineStr">
        <is>
          <t>[Exception] Failed delivery is shown with its reason</t>
        </is>
      </c>
      <c r="C14" s="43" t="inlineStr">
        <is>
          <t>1. GHN reports failed delivery
2. Open Order Detail</t>
        </is>
      </c>
      <c r="D14" s="103" t="inlineStr">
        <is>
          <t>"Delivering to you" step shows an error with the latest reason</t>
        </is>
      </c>
      <c r="E14" s="103" t="inlineStr">
        <is>
          <t>Order out for delivery</t>
        </is>
      </c>
      <c r="F14" s="42" t="inlineStr">
        <is>
          <t>Passed</t>
        </is>
      </c>
      <c r="G14" s="42" t="inlineStr">
        <is>
          <t>25/10/2026</t>
        </is>
      </c>
      <c r="H14" s="42" t="inlineStr">
        <is>
          <t>GitHub Actions CI</t>
        </is>
      </c>
      <c r="I14" s="42" t="n"/>
      <c r="J14" s="42" t="n"/>
      <c r="K14" s="42" t="n"/>
      <c r="L14" s="42" t="n"/>
      <c r="M14" s="42" t="n"/>
      <c r="N14" s="42" t="n"/>
      <c r="O14" s="45" t="inlineStr">
        <is>
          <t>failed delivery: step shows error with reason</t>
        </is>
      </c>
      <c r="P14" s="45" t="inlineStr">
        <is>
          <t>Failure reason</t>
        </is>
      </c>
      <c r="Q14" s="45" t="inlineStr">
        <is>
          <t>Automated (Jest, CI) – be/src/modules/storefront/storefront-order-progress.spec.ts:44</t>
        </is>
      </c>
      <c r="R14" s="45" t="inlineStr">
        <is>
          <t>Passed in CI (GitHub Actions run #258, commit 1a3101c, 25/10/2026)</t>
        </is>
      </c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5" t="n"/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</sheetData>
  <mergeCells count="3">
    <mergeCell ref="B3:E3"/>
    <mergeCell ref="B2:E2"/>
    <mergeCell ref="B4:E4"/>
  </mergeCells>
  <dataValidations count="1">
    <dataValidation sqref="F12:F20 I12:I20 L12:L20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 fitToPage="1"/>
  </sheetPr>
  <dimension ref="A2:T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F-10 Documents and labels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Acceptance criteria of F-10 (Design Brief section 6): main flow, data / business rule, exception or permission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F-10 Documents and labels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TC-F10-01</t>
        </is>
      </c>
      <c r="B12" s="43" t="inlineStr">
        <is>
          <t>[Main] Print the packing slip of a group</t>
        </is>
      </c>
      <c r="C12" s="43" t="inlineStr">
        <is>
          <t>1. Open the group
2. Download packing slip</t>
        </is>
      </c>
      <c r="D12" s="103" t="inlineStr">
        <is>
          <t>Valid PDF, one page per order</t>
        </is>
      </c>
      <c r="E12" s="103" t="inlineStr">
        <is>
          <t>Group with orders</t>
        </is>
      </c>
      <c r="F12" s="42" t="inlineStr">
        <is>
          <t>Passed</t>
        </is>
      </c>
      <c r="G12" s="42" t="inlineStr">
        <is>
          <t>25/10/2026</t>
        </is>
      </c>
      <c r="H12" s="42" t="inlineStr">
        <is>
          <t>GitHub Actions CI</t>
        </is>
      </c>
      <c r="I12" s="42" t="n"/>
      <c r="J12" s="42" t="n"/>
      <c r="K12" s="42" t="n"/>
      <c r="L12" s="42" t="n"/>
      <c r="M12" s="42" t="n"/>
      <c r="N12" s="42" t="n"/>
      <c r="O12" s="45" t="inlineStr">
        <is>
          <t>packing slip: valid PDF, one page per order</t>
        </is>
      </c>
      <c r="P12" s="45" t="inlineStr">
        <is>
          <t>Group with 2 orders</t>
        </is>
      </c>
      <c r="Q12" s="45" t="inlineStr">
        <is>
          <t>Automated (Jest, CI) – be/src/modules/documents/pdf/document-renderers.spec.ts:24</t>
        </is>
      </c>
      <c r="R12" s="45" t="inlineStr">
        <is>
          <t>Passed in CI (GitHub Actions run #258, commit 1a3101c, 25/10/2026)</t>
        </is>
      </c>
    </row>
    <row r="13" outlineLevel="1" ht="14" customHeight="1">
      <c r="A13" s="42" t="inlineStr">
        <is>
          <t>TC-F10-02</t>
        </is>
      </c>
      <c r="B13" s="43" t="inlineStr">
        <is>
          <t>[Rule] GHN label: each parcel has its own carrier code and barcode</t>
        </is>
      </c>
      <c r="C13" s="43" t="inlineStr">
        <is>
          <t>1. Create a shipment with 2 parcels
2. Download labels</t>
        </is>
      </c>
      <c r="D13" s="103" t="inlineStr">
        <is>
          <t>One page per parcel, each with its own carrier code / barcode</t>
        </is>
      </c>
      <c r="E13" s="103" t="inlineStr">
        <is>
          <t>Shipment booked with GHN</t>
        </is>
      </c>
      <c r="F13" s="42" t="inlineStr">
        <is>
          <t>Passed</t>
        </is>
      </c>
      <c r="G13" s="42" t="inlineStr">
        <is>
          <t>25/10/2026</t>
        </is>
      </c>
      <c r="H13" s="42" t="inlineStr">
        <is>
          <t>GitHub Actions CI</t>
        </is>
      </c>
      <c r="I13" s="42" t="n"/>
      <c r="J13" s="42" t="n"/>
      <c r="K13" s="42" t="n"/>
      <c r="L13" s="42" t="n"/>
      <c r="M13" s="42" t="n"/>
      <c r="N13" s="42" t="n"/>
      <c r="O13" s="45" t="inlineStr">
        <is>
          <t>GHN label: each parcel prints its own carrier code</t>
        </is>
      </c>
      <c r="P13" s="45" t="inlineStr">
        <is>
          <t>2 parcels</t>
        </is>
      </c>
      <c r="Q13" s="45" t="inlineStr">
        <is>
          <t>Automated (Jest, CI) – be/src/modules/documents/pdf/document-renderers.spec.ts:76</t>
        </is>
      </c>
      <c r="R13" s="45" t="inlineStr">
        <is>
          <t>Passed in CI (GitHub Actions run #258, commit 1a3101c, 25/10/2026)</t>
        </is>
      </c>
    </row>
    <row r="14" outlineLevel="1" ht="14" customHeight="1">
      <c r="A14" s="42" t="inlineStr">
        <is>
          <t>TC-F10-03</t>
        </is>
      </c>
      <c r="B14" s="43" t="inlineStr">
        <is>
          <t>[Exception] Packing slip of an empty group</t>
        </is>
      </c>
      <c r="C14" s="43" t="inlineStr">
        <is>
          <t>1. Download packing slip of a group without orders</t>
        </is>
      </c>
      <c r="D14" s="103" t="inlineStr">
        <is>
          <t>PDF with one notice page, no error</t>
        </is>
      </c>
      <c r="E14" s="103" t="inlineStr">
        <is>
          <t>Empty group</t>
        </is>
      </c>
      <c r="F14" s="42" t="inlineStr">
        <is>
          <t>Passed</t>
        </is>
      </c>
      <c r="G14" s="42" t="inlineStr">
        <is>
          <t>25/10/2026</t>
        </is>
      </c>
      <c r="H14" s="42" t="inlineStr">
        <is>
          <t>GitHub Actions CI</t>
        </is>
      </c>
      <c r="I14" s="42" t="n"/>
      <c r="J14" s="42" t="n"/>
      <c r="K14" s="42" t="n"/>
      <c r="L14" s="42" t="n"/>
      <c r="M14" s="42" t="n"/>
      <c r="N14" s="42" t="n"/>
      <c r="O14" s="45" t="inlineStr">
        <is>
          <t>packing slip: empty group still 1 notice page</t>
        </is>
      </c>
      <c r="P14" s="45" t="inlineStr">
        <is>
          <t>—</t>
        </is>
      </c>
      <c r="Q14" s="45" t="inlineStr">
        <is>
          <t>Automated (Jest, CI) – be/src/modules/documents/pdf/document-renderers.spec.ts:44</t>
        </is>
      </c>
      <c r="R14" s="45" t="inlineStr">
        <is>
          <t>Passed in CI (GitHub Actions run #258, commit 1a3101c, 25/10/2026)</t>
        </is>
      </c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5" t="n"/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</sheetData>
  <mergeCells count="3">
    <mergeCell ref="B3:E3"/>
    <mergeCell ref="B2:E2"/>
    <mergeCell ref="B4:E4"/>
  </mergeCells>
  <dataValidations count="1">
    <dataValidation sqref="F12:F20 I12:I20 L12:L20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 fitToPage="1"/>
  </sheetPr>
  <dimension ref="A2:T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Main workflows (end-to-end)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One end-to-end main scenario per main workflow WF-01 … WF-06 (Design Brief A1 / A2)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Main workflows (end-to-end)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TC-WF01</t>
        </is>
      </c>
      <c r="B12" s="43" t="inlineStr">
        <is>
          <t>[End-to-end] WF-01 Order Intake &amp; Consolidation: main scenario end to end</t>
        </is>
      </c>
      <c r="C12" s="43" t="inlineStr">
        <is>
          <t>1. Create a Lazada order
2. Wait for sync / press Sync (Admin)
3. Open Groups &amp; Express</t>
        </is>
      </c>
      <c r="D12" s="103" t="inlineStr">
        <is>
          <t>Group created, stock reserved, picker assigned, status picking</t>
        </is>
      </c>
      <c r="E12" s="103" t="inlineStr">
        <is>
          <t>Lazada shop connected; SKUs mapped and in stock</t>
        </is>
      </c>
      <c r="F12" s="42" t="inlineStr">
        <is>
          <t>Pending</t>
        </is>
      </c>
      <c r="G12" s="42" t="inlineStr"/>
      <c r="H12" s="42" t="inlineStr">
        <is>
          <t>Thuận</t>
        </is>
      </c>
      <c r="I12" s="42" t="n"/>
      <c r="J12" s="42" t="n"/>
      <c r="K12" s="42" t="n"/>
      <c r="L12" s="42" t="n"/>
      <c r="M12" s="42" t="n"/>
      <c r="N12" s="42" t="n"/>
      <c r="O12" s="45" t="inlineStr"/>
      <c r="P12" s="45" t="inlineStr">
        <is>
          <t>Lazada order for 2 SKUs in stock (DS-01)</t>
        </is>
      </c>
      <c r="Q12" s="45" t="inlineStr">
        <is>
          <t>Manual on the staff portal / AURELLE website with seeded data</t>
        </is>
      </c>
      <c r="R12" s="45" t="inlineStr">
        <is>
          <t>Not executed yet – planned for the Verification stage (23/11–04/12/2026)</t>
        </is>
      </c>
    </row>
    <row r="13" outlineLevel="1" ht="14" customHeight="1">
      <c r="A13" s="42" t="inlineStr">
        <is>
          <t>TC-WF02</t>
        </is>
      </c>
      <c r="B13" s="43" t="inlineStr">
        <is>
          <t>[End-to-end] WF-02 Picking: main scenario end to end</t>
        </is>
      </c>
      <c r="C13" s="43" t="inlineStr">
        <is>
          <t>1. Log in as Warehouse Staff
2. Scan all items bin by bin
3. Press Complete picking</t>
        </is>
      </c>
      <c r="D13" s="103" t="inlineStr">
        <is>
          <t>Group picked; oldest lots consumed</t>
        </is>
      </c>
      <c r="E13" s="103" t="inlineStr">
        <is>
          <t>Group assigned to the picker</t>
        </is>
      </c>
      <c r="F13" s="42" t="inlineStr">
        <is>
          <t>Pending</t>
        </is>
      </c>
      <c r="G13" s="42" t="inlineStr"/>
      <c r="H13" s="42" t="inlineStr">
        <is>
          <t>Phượng</t>
        </is>
      </c>
      <c r="I13" s="42" t="n"/>
      <c r="J13" s="42" t="n"/>
      <c r="K13" s="42" t="n"/>
      <c r="L13" s="42" t="n"/>
      <c r="M13" s="42" t="n"/>
      <c r="N13" s="42" t="n"/>
      <c r="O13" s="45" t="inlineStr"/>
      <c r="P13" s="45" t="inlineStr">
        <is>
          <t>Group in picking with stock in bins (DS-03)</t>
        </is>
      </c>
      <c r="Q13" s="45" t="inlineStr">
        <is>
          <t>Manual on the staff portal / AURELLE website with seeded data</t>
        </is>
      </c>
      <c r="R13" s="45" t="inlineStr">
        <is>
          <t>Not executed yet – planned for the Verification stage (23/11–04/12/2026)</t>
        </is>
      </c>
    </row>
    <row r="14" outlineLevel="1" ht="14" customHeight="1">
      <c r="A14" s="42" t="inlineStr">
        <is>
          <t>TC-WF03</t>
        </is>
      </c>
      <c r="B14" s="43" t="inlineStr">
        <is>
          <t>[End-to-end] WF-03 Packing: main scenario end to end</t>
        </is>
      </c>
      <c r="C14" s="43" t="inlineStr">
        <is>
          <t>1. Log in as Packaging Staff
2. Approve the plan
3. Scan, seal and weigh every parcel</t>
        </is>
      </c>
      <c r="D14" s="103" t="inlineStr">
        <is>
          <t>Group packed; boxes and materials deducted</t>
        </is>
      </c>
      <c r="E14" s="103" t="inlineStr">
        <is>
          <t>Plan ready</t>
        </is>
      </c>
      <c r="F14" s="42" t="inlineStr">
        <is>
          <t>Pending</t>
        </is>
      </c>
      <c r="G14" s="42" t="inlineStr"/>
      <c r="H14" s="42" t="inlineStr">
        <is>
          <t>Việt</t>
        </is>
      </c>
      <c r="I14" s="42" t="n"/>
      <c r="J14" s="42" t="n"/>
      <c r="K14" s="42" t="n"/>
      <c r="L14" s="42" t="n"/>
      <c r="M14" s="42" t="n"/>
      <c r="N14" s="42" t="n"/>
      <c r="O14" s="45" t="inlineStr"/>
      <c r="P14" s="45" t="inlineStr">
        <is>
          <t>Picked group, SKU profiles confirmed (DS-05)</t>
        </is>
      </c>
      <c r="Q14" s="45" t="inlineStr">
        <is>
          <t>Manual on the staff portal / AURELLE website with seeded data</t>
        </is>
      </c>
      <c r="R14" s="45" t="inlineStr">
        <is>
          <t>Not executed yet – planned for the Verification stage (23/11–04/12/2026)</t>
        </is>
      </c>
    </row>
    <row r="15" ht="15.75" customFormat="1" customHeight="1" s="32">
      <c r="A15" s="42" t="inlineStr">
        <is>
          <t>TC-WF04</t>
        </is>
      </c>
      <c r="B15" s="43" t="inlineStr">
        <is>
          <t>[End-to-end] WF-04 Shipping via GHN: main scenario end to end</t>
        </is>
      </c>
      <c r="C15" s="43" t="inlineStr">
        <is>
          <t>1. Log in as Shipping Coordinator
2. Compare quotes, create shipment
3. Follow GHN status until delivered</t>
        </is>
      </c>
      <c r="D15" s="103" t="inlineStr">
        <is>
          <t>Shipment and group delivered; AURELLE customer sees every step</t>
        </is>
      </c>
      <c r="E15" s="103" t="inlineStr">
        <is>
          <t>Group packed; GHN staging configured</t>
        </is>
      </c>
      <c r="F15" s="42" t="inlineStr">
        <is>
          <t>Pending</t>
        </is>
      </c>
      <c r="G15" s="42" t="inlineStr"/>
      <c r="H15" s="42" t="inlineStr">
        <is>
          <t>Thuận</t>
        </is>
      </c>
      <c r="I15" s="42" t="n"/>
      <c r="J15" s="42" t="n"/>
      <c r="K15" s="42" t="n"/>
      <c r="L15" s="42" t="n"/>
      <c r="M15" s="42" t="n"/>
      <c r="N15" s="42" t="n"/>
      <c r="O15" s="45" t="inlineStr"/>
      <c r="P15" s="45" t="inlineStr">
        <is>
          <t>Packed group (DS-07)</t>
        </is>
      </c>
      <c r="Q15" s="45" t="inlineStr">
        <is>
          <t>Manual on the staff portal / AURELLE website with seeded data</t>
        </is>
      </c>
      <c r="R15" s="45" t="inlineStr">
        <is>
          <t>Not executed yet – planned for the Verification stage (23/11–04/12/2026)</t>
        </is>
      </c>
    </row>
    <row r="16" outlineLevel="1" ht="14" customHeight="1">
      <c r="A16" s="42" t="inlineStr">
        <is>
          <t>TC-WF05</t>
        </is>
      </c>
      <c r="B16" s="43" t="inlineStr">
        <is>
          <t>[End-to-end] WF-05 Return / Exchange via AURELLE: main scenario end to end</t>
        </is>
      </c>
      <c r="C16" s="43" t="inlineStr">
        <is>
          <t>1. Customer requests return on AURELLE
2. Store Owner approves
3. Warehouse Staff receives and inspects</t>
        </is>
      </c>
      <c r="D16" s="103" t="inlineStr">
        <is>
          <t>Ticket closed; refund recorded or replacement order created</t>
        </is>
      </c>
      <c r="E16" s="103" t="inlineStr">
        <is>
          <t>Order delivered ≤ 15 days</t>
        </is>
      </c>
      <c r="F16" s="42" t="inlineStr">
        <is>
          <t>Pending</t>
        </is>
      </c>
      <c r="G16" s="42" t="inlineStr"/>
      <c r="H16" s="42" t="inlineStr">
        <is>
          <t>Thi</t>
        </is>
      </c>
      <c r="I16" s="42" t="n"/>
      <c r="J16" s="42" t="n"/>
      <c r="K16" s="42" t="n"/>
      <c r="L16" s="42" t="n"/>
      <c r="M16" s="42" t="n"/>
      <c r="N16" s="42" t="n"/>
      <c r="O16" s="45" t="inlineStr"/>
      <c r="P16" s="45" t="inlineStr">
        <is>
          <t>Delivered AURELLE order within 15 days (DS-09)</t>
        </is>
      </c>
      <c r="Q16" s="45" t="inlineStr">
        <is>
          <t>Manual on the staff portal / AURELLE website with seeded data</t>
        </is>
      </c>
      <c r="R16" s="45" t="inlineStr">
        <is>
          <t>Not executed yet – planned for the Verification stage (23/11–04/12/2026)</t>
        </is>
      </c>
    </row>
    <row r="17" outlineLevel="1" ht="14" customHeight="1">
      <c r="A17" s="42" t="inlineStr">
        <is>
          <t>TC-WF06</t>
        </is>
      </c>
      <c r="B17" s="43" t="inlineStr">
        <is>
          <t>[End-to-end] WF-06 Stock Receiving by Lot: main scenario end to end</t>
        </is>
      </c>
      <c r="C17" s="43" t="inlineStr">
        <is>
          <t>1. Assign SKU to bin
2. Create stock receipt with lot code
3. Check bin stock and AURELLE stock</t>
        </is>
      </c>
      <c r="D17" s="103" t="inlineStr">
        <is>
          <t>Lot created; stock increased; shortage groups re-checked; stock pushed to AURELLE</t>
        </is>
      </c>
      <c r="E17" s="103" t="inlineStr">
        <is>
          <t>Warehouse structure created</t>
        </is>
      </c>
      <c r="F17" s="42" t="inlineStr">
        <is>
          <t>Pending</t>
        </is>
      </c>
      <c r="G17" s="42" t="inlineStr"/>
      <c r="H17" s="42" t="inlineStr">
        <is>
          <t>Thi</t>
        </is>
      </c>
      <c r="I17" s="42" t="n"/>
      <c r="J17" s="42" t="n"/>
      <c r="K17" s="42" t="n"/>
      <c r="L17" s="42" t="n"/>
      <c r="M17" s="42" t="n"/>
      <c r="N17" s="42" t="n"/>
      <c r="O17" s="45" t="inlineStr"/>
      <c r="P17" s="45" t="inlineStr">
        <is>
          <t>Warehouse with an empty bin (DS-11)</t>
        </is>
      </c>
      <c r="Q17" s="45" t="inlineStr">
        <is>
          <t>Manual on the staff portal / AURELLE website with seeded data</t>
        </is>
      </c>
      <c r="R17" s="45" t="inlineStr">
        <is>
          <t>Not executed yet – planned for the Verification stage (23/11–04/12/2026)</t>
        </is>
      </c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</sheetData>
  <mergeCells count="3">
    <mergeCell ref="B3:E3"/>
    <mergeCell ref="B2:E2"/>
    <mergeCell ref="B4:E4"/>
  </mergeCells>
  <dataValidations count="1">
    <dataValidation sqref="F12:F23 I12:I23 L12:L23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0" summaryRight="0"/>
    <pageSetUpPr fitToPage="1"/>
  </sheetPr>
  <dimension ref="A2:T44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Order Group state transitions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Every allowed transition of the Order Group (be/src/modules/order-groups/enums/allowed-status-transitions.ts, 33 transitions); invalid jumps are rejected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Order Group state transitions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TC-ST01</t>
        </is>
      </c>
      <c r="B12" s="43" t="inlineStr">
        <is>
          <t>[Transition] Order Group awaiting_packaging → picking</t>
        </is>
      </c>
      <c r="C12" s="43" t="inlineStr">
        <is>
          <t>1. Group in awaiting_packaging
2. Picker assigned, picking starts</t>
        </is>
      </c>
      <c r="D12" s="103" t="inlineStr">
        <is>
          <t>Status becomes picking; invalid jumps from awaiting_packaging are rejected (ORD_GROUP state error)</t>
        </is>
      </c>
      <c r="E12" s="103" t="inlineStr">
        <is>
          <t>Order Group in status awaiting_packaging</t>
        </is>
      </c>
      <c r="F12" s="42" t="inlineStr">
        <is>
          <t>Passed</t>
        </is>
      </c>
      <c r="G12" s="42" t="inlineStr">
        <is>
          <t>25/10/2026</t>
        </is>
      </c>
      <c r="H12" s="42" t="inlineStr">
        <is>
          <t>GitHub Actions CI</t>
        </is>
      </c>
      <c r="I12" s="42" t="n"/>
      <c r="J12" s="42" t="n"/>
      <c r="K12" s="42" t="n"/>
      <c r="L12" s="42" t="n"/>
      <c r="M12" s="42" t="n"/>
      <c r="N12" s="42" t="n"/>
      <c r="O12" s="45" t="inlineStr">
        <is>
          <t>transition asserted (happy path)</t>
        </is>
      </c>
      <c r="P12" s="45" t="inlineStr">
        <is>
          <t>Picker assigned, picking starts</t>
        </is>
      </c>
      <c r="Q12" s="45" t="inlineStr">
        <is>
          <t>Automated (Jest, CI) – be/src/modules/order-groups/enums/allowed-status-transitions.spec.ts</t>
        </is>
      </c>
      <c r="R12" s="45" t="inlineStr">
        <is>
          <t>Passed in CI (GitHub Actions run #258, commit 1a3101c, 25/10/2026)</t>
        </is>
      </c>
    </row>
    <row r="13" outlineLevel="1" ht="14" customHeight="1">
      <c r="A13" s="42" t="inlineStr">
        <is>
          <t>TC-ST02</t>
        </is>
      </c>
      <c r="B13" s="43" t="inlineStr">
        <is>
          <t>[Transition] Order Group awaiting_packaging → partial_needs_review</t>
        </is>
      </c>
      <c r="C13" s="43" t="inlineStr">
        <is>
          <t>1. Group in awaiting_packaging
2. Missing item reported before picking starts</t>
        </is>
      </c>
      <c r="D13" s="103" t="inlineStr">
        <is>
          <t>Status becomes partial_needs_review; invalid jumps from awaiting_packaging are rejected (ORD_GROUP state error)</t>
        </is>
      </c>
      <c r="E13" s="103" t="inlineStr">
        <is>
          <t>Order Group in status awaiting_packaging</t>
        </is>
      </c>
      <c r="F13" s="42" t="inlineStr">
        <is>
          <t>Pending</t>
        </is>
      </c>
      <c r="G13" s="42" t="inlineStr"/>
      <c r="H13" s="42" t="inlineStr">
        <is>
          <t>Phượng</t>
        </is>
      </c>
      <c r="I13" s="42" t="n"/>
      <c r="J13" s="42" t="n"/>
      <c r="K13" s="42" t="n"/>
      <c r="L13" s="42" t="n"/>
      <c r="M13" s="42" t="n"/>
      <c r="N13" s="42" t="n"/>
      <c r="O13" s="45" t="inlineStr"/>
      <c r="P13" s="45" t="inlineStr">
        <is>
          <t>Missing item reported before picking starts</t>
        </is>
      </c>
      <c r="Q13" s="45" t="inlineStr">
        <is>
          <t>Manual: trigger the action on the portal and check the group status</t>
        </is>
      </c>
      <c r="R13" s="45" t="inlineStr">
        <is>
          <t>Not executed yet – planned for the Verification stage (23/11–04/12/2026)</t>
        </is>
      </c>
    </row>
    <row r="14" outlineLevel="1" ht="14" customHeight="1">
      <c r="A14" s="42" t="inlineStr">
        <is>
          <t>TC-ST03</t>
        </is>
      </c>
      <c r="B14" s="43" t="inlineStr">
        <is>
          <t>[Transition] Order Group awaiting_packaging → canceled</t>
        </is>
      </c>
      <c r="C14" s="43" t="inlineStr">
        <is>
          <t>1. Group in awaiting_packaging
2. All orders cancelled</t>
        </is>
      </c>
      <c r="D14" s="103" t="inlineStr">
        <is>
          <t>Status becomes canceled; invalid jumps from awaiting_packaging are rejected (ORD_GROUP state error)</t>
        </is>
      </c>
      <c r="E14" s="103" t="inlineStr">
        <is>
          <t>Order Group in status awaiting_packaging</t>
        </is>
      </c>
      <c r="F14" s="42" t="inlineStr">
        <is>
          <t>Passed</t>
        </is>
      </c>
      <c r="G14" s="42" t="inlineStr">
        <is>
          <t>25/10/2026</t>
        </is>
      </c>
      <c r="H14" s="42" t="inlineStr">
        <is>
          <t>GitHub Actions CI</t>
        </is>
      </c>
      <c r="I14" s="42" t="n"/>
      <c r="J14" s="42" t="n"/>
      <c r="K14" s="42" t="n"/>
      <c r="L14" s="42" t="n"/>
      <c r="M14" s="42" t="n"/>
      <c r="N14" s="42" t="n"/>
      <c r="O14" s="45" t="inlineStr">
        <is>
          <t>transition asserted (auto-cancel)</t>
        </is>
      </c>
      <c r="P14" s="45" t="inlineStr">
        <is>
          <t>All orders cancelled</t>
        </is>
      </c>
      <c r="Q14" s="45" t="inlineStr">
        <is>
          <t>Automated (Jest, CI) – be/src/modules/order-groups/enums/allowed-status-transitions.spec.ts</t>
        </is>
      </c>
      <c r="R14" s="45" t="inlineStr">
        <is>
          <t>Passed in CI (GitHub Actions run #258, commit 1a3101c, 25/10/2026)</t>
        </is>
      </c>
    </row>
    <row r="15" ht="15.75" customFormat="1" customHeight="1" s="32">
      <c r="A15" s="42" t="inlineStr">
        <is>
          <t>TC-ST04</t>
        </is>
      </c>
      <c r="B15" s="43" t="inlineStr">
        <is>
          <t>[Transition] Order Group picking → picked</t>
        </is>
      </c>
      <c r="C15" s="43" t="inlineStr">
        <is>
          <t>1. Group in picking
2. Complete picking</t>
        </is>
      </c>
      <c r="D15" s="103" t="inlineStr">
        <is>
          <t>Status becomes picked; invalid jumps from picking are rejected (ORD_GROUP state error)</t>
        </is>
      </c>
      <c r="E15" s="103" t="inlineStr">
        <is>
          <t>Order Group in status picking</t>
        </is>
      </c>
      <c r="F15" s="42" t="inlineStr">
        <is>
          <t>Passed</t>
        </is>
      </c>
      <c r="G15" s="42" t="inlineStr">
        <is>
          <t>25/10/2026</t>
        </is>
      </c>
      <c r="H15" s="42" t="inlineStr">
        <is>
          <t>GitHub Actions CI</t>
        </is>
      </c>
      <c r="I15" s="42" t="n"/>
      <c r="J15" s="42" t="n"/>
      <c r="K15" s="42" t="n"/>
      <c r="L15" s="42" t="n"/>
      <c r="M15" s="42" t="n"/>
      <c r="N15" s="42" t="n"/>
      <c r="O15" s="45" t="inlineStr">
        <is>
          <t>transition asserted (happy path)</t>
        </is>
      </c>
      <c r="P15" s="45" t="inlineStr">
        <is>
          <t>Complete picking</t>
        </is>
      </c>
      <c r="Q15" s="45" t="inlineStr">
        <is>
          <t>Automated (Jest, CI) – be/src/modules/order-groups/enums/allowed-status-transitions.spec.ts</t>
        </is>
      </c>
      <c r="R15" s="45" t="inlineStr">
        <is>
          <t>Passed in CI (GitHub Actions run #258, commit 1a3101c, 25/10/2026)</t>
        </is>
      </c>
    </row>
    <row r="16" outlineLevel="1" ht="14" customHeight="1">
      <c r="A16" s="42" t="inlineStr">
        <is>
          <t>TC-ST05</t>
        </is>
      </c>
      <c r="B16" s="43" t="inlineStr">
        <is>
          <t>[Transition] Order Group picking → partial_needs_review</t>
        </is>
      </c>
      <c r="C16" s="43" t="inlineStr">
        <is>
          <t>1. Group in picking
2. Report missing item</t>
        </is>
      </c>
      <c r="D16" s="103" t="inlineStr">
        <is>
          <t>Status becomes partial_needs_review; invalid jumps from picking are rejected (ORD_GROUP state error)</t>
        </is>
      </c>
      <c r="E16" s="103" t="inlineStr">
        <is>
          <t>Order Group in status picking</t>
        </is>
      </c>
      <c r="F16" s="42" t="inlineStr">
        <is>
          <t>Pending</t>
        </is>
      </c>
      <c r="G16" s="42" t="inlineStr"/>
      <c r="H16" s="42" t="inlineStr">
        <is>
          <t>Phượng</t>
        </is>
      </c>
      <c r="I16" s="42" t="n"/>
      <c r="J16" s="42" t="n"/>
      <c r="K16" s="42" t="n"/>
      <c r="L16" s="42" t="n"/>
      <c r="M16" s="42" t="n"/>
      <c r="N16" s="42" t="n"/>
      <c r="O16" s="45" t="inlineStr"/>
      <c r="P16" s="45" t="inlineStr">
        <is>
          <t>Report missing item</t>
        </is>
      </c>
      <c r="Q16" s="45" t="inlineStr">
        <is>
          <t>Manual: trigger the action on the portal and check the group status</t>
        </is>
      </c>
      <c r="R16" s="45" t="inlineStr">
        <is>
          <t>Not executed yet – planned for the Verification stage (23/11–04/12/2026)</t>
        </is>
      </c>
    </row>
    <row r="17" outlineLevel="1" ht="14" customHeight="1">
      <c r="A17" s="42" t="inlineStr">
        <is>
          <t>TC-ST06</t>
        </is>
      </c>
      <c r="B17" s="43" t="inlineStr">
        <is>
          <t>[Transition] Order Group picking → canceled</t>
        </is>
      </c>
      <c r="C17" s="43" t="inlineStr">
        <is>
          <t>1. Group in picking
2. All orders cancelled</t>
        </is>
      </c>
      <c r="D17" s="103" t="inlineStr">
        <is>
          <t>Status becomes canceled; invalid jumps from picking are rejected (ORD_GROUP state error)</t>
        </is>
      </c>
      <c r="E17" s="103" t="inlineStr">
        <is>
          <t>Order Group in status picking</t>
        </is>
      </c>
      <c r="F17" s="42" t="inlineStr">
        <is>
          <t>Passed</t>
        </is>
      </c>
      <c r="G17" s="42" t="inlineStr">
        <is>
          <t>25/10/2026</t>
        </is>
      </c>
      <c r="H17" s="42" t="inlineStr">
        <is>
          <t>GitHub Actions CI</t>
        </is>
      </c>
      <c r="I17" s="42" t="n"/>
      <c r="J17" s="42" t="n"/>
      <c r="K17" s="42" t="n"/>
      <c r="L17" s="42" t="n"/>
      <c r="M17" s="42" t="n"/>
      <c r="N17" s="42" t="n"/>
      <c r="O17" s="45" t="inlineStr">
        <is>
          <t>transition asserted (auto-cancel)</t>
        </is>
      </c>
      <c r="P17" s="45" t="inlineStr">
        <is>
          <t>All orders cancelled</t>
        </is>
      </c>
      <c r="Q17" s="45" t="inlineStr">
        <is>
          <t>Automated (Jest, CI) – be/src/modules/order-groups/enums/allowed-status-transitions.spec.ts</t>
        </is>
      </c>
      <c r="R17" s="45" t="inlineStr">
        <is>
          <t>Passed in CI (GitHub Actions run #258, commit 1a3101c, 25/10/2026)</t>
        </is>
      </c>
    </row>
    <row r="18" ht="15.75" customFormat="1" customHeight="1" s="32">
      <c r="A18" s="42" t="inlineStr">
        <is>
          <t>TC-ST07</t>
        </is>
      </c>
      <c r="B18" s="43" t="inlineStr">
        <is>
          <t>[Transition] Order Group picked → pending_approval</t>
        </is>
      </c>
      <c r="C18" s="43" t="inlineStr">
        <is>
          <t>1. Group in picked
2. Packing plan computed</t>
        </is>
      </c>
      <c r="D18" s="103" t="inlineStr">
        <is>
          <t>Status becomes pending_approval; invalid jumps from picked are rejected (ORD_GROUP state error)</t>
        </is>
      </c>
      <c r="E18" s="103" t="inlineStr">
        <is>
          <t>Order Group in status picked</t>
        </is>
      </c>
      <c r="F18" s="42" t="inlineStr">
        <is>
          <t>Passed</t>
        </is>
      </c>
      <c r="G18" s="42" t="inlineStr">
        <is>
          <t>25/10/2026</t>
        </is>
      </c>
      <c r="H18" s="42" t="inlineStr">
        <is>
          <t>GitHub Actions CI</t>
        </is>
      </c>
      <c r="I18" s="42" t="n"/>
      <c r="J18" s="42" t="n"/>
      <c r="K18" s="42" t="n"/>
      <c r="L18" s="42" t="n"/>
      <c r="M18" s="42" t="n"/>
      <c r="N18" s="42" t="n"/>
      <c r="O18" s="45" t="inlineStr">
        <is>
          <t>transition asserted (happy path)</t>
        </is>
      </c>
      <c r="P18" s="45" t="inlineStr">
        <is>
          <t>Packing plan computed</t>
        </is>
      </c>
      <c r="Q18" s="45" t="inlineStr">
        <is>
          <t>Automated (Jest, CI) – be/src/modules/order-groups/enums/allowed-status-transitions.spec.ts</t>
        </is>
      </c>
      <c r="R18" s="45" t="inlineStr">
        <is>
          <t>Passed in CI (GitHub Actions run #258, commit 1a3101c, 25/10/2026)</t>
        </is>
      </c>
    </row>
    <row r="19" outlineLevel="1" ht="14" customHeight="1">
      <c r="A19" s="42" t="inlineStr">
        <is>
          <t>TC-ST08</t>
        </is>
      </c>
      <c r="B19" s="43" t="inlineStr">
        <is>
          <t>[Transition] Order Group picked → picking</t>
        </is>
      </c>
      <c r="C19" s="43" t="inlineStr">
        <is>
          <t>1. Group in picked
2. Back to picking from packing</t>
        </is>
      </c>
      <c r="D19" s="103" t="inlineStr">
        <is>
          <t>Status becomes picking; invalid jumps from picked are rejected (ORD_GROUP state error)</t>
        </is>
      </c>
      <c r="E19" s="103" t="inlineStr">
        <is>
          <t>Order Group in status picked</t>
        </is>
      </c>
      <c r="F19" s="42" t="inlineStr">
        <is>
          <t>Pending</t>
        </is>
      </c>
      <c r="G19" s="42" t="inlineStr"/>
      <c r="H19" s="42" t="inlineStr">
        <is>
          <t>Việt</t>
        </is>
      </c>
      <c r="I19" s="42" t="n"/>
      <c r="J19" s="42" t="n"/>
      <c r="K19" s="42" t="n"/>
      <c r="L19" s="42" t="n"/>
      <c r="M19" s="42" t="n"/>
      <c r="N19" s="42" t="n"/>
      <c r="O19" s="45" t="inlineStr"/>
      <c r="P19" s="45" t="inlineStr">
        <is>
          <t>Back to picking from packing</t>
        </is>
      </c>
      <c r="Q19" s="45" t="inlineStr">
        <is>
          <t>Manual: trigger the action on the portal and check the group status</t>
        </is>
      </c>
      <c r="R19" s="45" t="inlineStr">
        <is>
          <t>Not executed yet – planned for the Verification stage (23/11–04/12/2026)</t>
        </is>
      </c>
    </row>
    <row r="20">
      <c r="A20" s="42" t="inlineStr">
        <is>
          <t>TC-ST09</t>
        </is>
      </c>
      <c r="B20" s="43" t="inlineStr">
        <is>
          <t>[Transition] Order Group picked → canceled</t>
        </is>
      </c>
      <c r="C20" s="43" t="inlineStr">
        <is>
          <t>1. Group in picked
2. All orders cancelled</t>
        </is>
      </c>
      <c r="D20" s="103" t="inlineStr">
        <is>
          <t>Status becomes canceled; invalid jumps from picked are rejected (ORD_GROUP state error)</t>
        </is>
      </c>
      <c r="E20" s="103" t="inlineStr">
        <is>
          <t>Order Group in status picked</t>
        </is>
      </c>
      <c r="F20" s="42" t="inlineStr">
        <is>
          <t>Passed</t>
        </is>
      </c>
      <c r="G20" s="42" t="inlineStr">
        <is>
          <t>25/10/2026</t>
        </is>
      </c>
      <c r="H20" s="42" t="inlineStr">
        <is>
          <t>GitHub Actions CI</t>
        </is>
      </c>
      <c r="I20" s="42" t="n"/>
      <c r="J20" s="42" t="n"/>
      <c r="K20" s="42" t="n"/>
      <c r="L20" s="42" t="n"/>
      <c r="M20" s="42" t="n"/>
      <c r="N20" s="42" t="n"/>
      <c r="O20" s="45" t="inlineStr">
        <is>
          <t>transition asserted (auto-cancel)</t>
        </is>
      </c>
      <c r="P20" s="45" t="inlineStr">
        <is>
          <t>All orders cancelled</t>
        </is>
      </c>
      <c r="Q20" s="45" t="inlineStr">
        <is>
          <t>Automated (Jest, CI) – be/src/modules/order-groups/enums/allowed-status-transitions.spec.ts</t>
        </is>
      </c>
      <c r="R20" s="45" t="inlineStr">
        <is>
          <t>Passed in CI (GitHub Actions run #258, commit 1a3101c, 25/10/2026)</t>
        </is>
      </c>
    </row>
    <row r="21">
      <c r="A21" s="42" t="inlineStr">
        <is>
          <t>TC-ST10</t>
        </is>
      </c>
      <c r="B21" s="43" t="inlineStr">
        <is>
          <t>[Transition] Order Group partial_needs_review → picked</t>
        </is>
      </c>
      <c r="C21" s="43" t="inlineStr">
        <is>
          <t>1. Group in partial_needs_review
2. Ship available items</t>
        </is>
      </c>
      <c r="D21" s="103" t="inlineStr">
        <is>
          <t>Status becomes picked; invalid jumps from partial_needs_review are rejected (ORD_GROUP state error)</t>
        </is>
      </c>
      <c r="E21" s="103" t="inlineStr">
        <is>
          <t>Order Group in status partial_needs_review</t>
        </is>
      </c>
      <c r="F21" s="42" t="inlineStr">
        <is>
          <t>Passed</t>
        </is>
      </c>
      <c r="G21" s="42" t="inlineStr">
        <is>
          <t>25/10/2026</t>
        </is>
      </c>
      <c r="H21" s="42" t="inlineStr">
        <is>
          <t>GitHub Actions CI</t>
        </is>
      </c>
      <c r="I21" s="42" t="n"/>
      <c r="J21" s="42" t="n"/>
      <c r="K21" s="42" t="n"/>
      <c r="L21" s="42" t="n"/>
      <c r="M21" s="42" t="n"/>
      <c r="N21" s="42" t="n"/>
      <c r="O21" s="45" t="inlineStr">
        <is>
          <t>transition asserted (partial → picked)</t>
        </is>
      </c>
      <c r="P21" s="45" t="inlineStr">
        <is>
          <t>Ship available items</t>
        </is>
      </c>
      <c r="Q21" s="45" t="inlineStr">
        <is>
          <t>Automated (Jest, CI) – be/src/modules/order-groups/enums/allowed-status-transitions.spec.ts</t>
        </is>
      </c>
      <c r="R21" s="45" t="inlineStr">
        <is>
          <t>Passed in CI (GitHub Actions run #258, commit 1a3101c, 25/10/2026)</t>
        </is>
      </c>
    </row>
    <row r="22">
      <c r="A22" s="42" t="inlineStr">
        <is>
          <t>TC-ST11</t>
        </is>
      </c>
      <c r="B22" s="43" t="inlineStr">
        <is>
          <t>[Transition] Order Group partial_needs_review → awaiting_packaging</t>
        </is>
      </c>
      <c r="C22" s="43" t="inlineStr">
        <is>
          <t>1. Group in partial_needs_review
2. Re-queue until stock arrives</t>
        </is>
      </c>
      <c r="D22" s="103" t="inlineStr">
        <is>
          <t>Status becomes awaiting_packaging; invalid jumps from partial_needs_review are rejected (ORD_GROUP state error)</t>
        </is>
      </c>
      <c r="E22" s="103" t="inlineStr">
        <is>
          <t>Order Group in status partial_needs_review</t>
        </is>
      </c>
      <c r="F22" s="42" t="inlineStr">
        <is>
          <t>Passed</t>
        </is>
      </c>
      <c r="G22" s="42" t="inlineStr">
        <is>
          <t>25/10/2026</t>
        </is>
      </c>
      <c r="H22" s="42" t="inlineStr">
        <is>
          <t>GitHub Actions CI</t>
        </is>
      </c>
      <c r="I22" s="42" t="n"/>
      <c r="J22" s="42" t="n"/>
      <c r="K22" s="42" t="n"/>
      <c r="L22" s="42" t="n"/>
      <c r="M22" s="42" t="n"/>
      <c r="N22" s="42" t="n"/>
      <c r="O22" s="45" t="inlineStr">
        <is>
          <t>transition asserted (partial → awaiting)</t>
        </is>
      </c>
      <c r="P22" s="45" t="inlineStr">
        <is>
          <t>Re-queue until stock arrives</t>
        </is>
      </c>
      <c r="Q22" s="45" t="inlineStr">
        <is>
          <t>Automated (Jest, CI) – be/src/modules/order-groups/enums/allowed-status-transitions.spec.ts</t>
        </is>
      </c>
      <c r="R22" s="45" t="inlineStr">
        <is>
          <t>Passed in CI (GitHub Actions run #258, commit 1a3101c, 25/10/2026)</t>
        </is>
      </c>
    </row>
    <row r="23">
      <c r="A23" s="42" t="inlineStr">
        <is>
          <t>TC-ST12</t>
        </is>
      </c>
      <c r="B23" s="43" t="inlineStr">
        <is>
          <t>[Transition] Order Group partial_needs_review → picking</t>
        </is>
      </c>
      <c r="C23" s="43" t="inlineStr">
        <is>
          <t>1. Group in partial_needs_review
2. Re-pick (new pick round)</t>
        </is>
      </c>
      <c r="D23" s="103" t="inlineStr">
        <is>
          <t>Status becomes picking; invalid jumps from partial_needs_review are rejected (ORD_GROUP state error)</t>
        </is>
      </c>
      <c r="E23" s="103" t="inlineStr">
        <is>
          <t>Order Group in status partial_needs_review</t>
        </is>
      </c>
      <c r="F23" s="42" t="inlineStr">
        <is>
          <t>Pending</t>
        </is>
      </c>
      <c r="G23" s="42" t="inlineStr"/>
      <c r="H23" s="42" t="inlineStr">
        <is>
          <t>Phượng</t>
        </is>
      </c>
      <c r="I23" s="42" t="n"/>
      <c r="J23" s="42" t="n"/>
      <c r="K23" s="42" t="n"/>
      <c r="L23" s="42" t="n"/>
      <c r="M23" s="42" t="n"/>
      <c r="N23" s="42" t="n"/>
      <c r="O23" s="45" t="inlineStr"/>
      <c r="P23" s="45" t="inlineStr">
        <is>
          <t>Re-pick (new pick round)</t>
        </is>
      </c>
      <c r="Q23" s="45" t="inlineStr">
        <is>
          <t>Manual: trigger the action on the portal and check the group status</t>
        </is>
      </c>
      <c r="R23" s="45" t="inlineStr">
        <is>
          <t>Not executed yet – planned for the Verification stage (23/11–04/12/2026)</t>
        </is>
      </c>
    </row>
    <row r="24">
      <c r="A24" s="42" t="inlineStr">
        <is>
          <t>TC-ST13</t>
        </is>
      </c>
      <c r="B24" s="43" t="inlineStr">
        <is>
          <t>[Transition] Order Group partial_needs_review → canceled</t>
        </is>
      </c>
      <c r="C24" s="43" t="inlineStr">
        <is>
          <t>1. Group in partial_needs_review
2. All orders cancelled</t>
        </is>
      </c>
      <c r="D24" s="103" t="inlineStr">
        <is>
          <t>Status becomes canceled; invalid jumps from partial_needs_review are rejected (ORD_GROUP state error)</t>
        </is>
      </c>
      <c r="E24" s="103" t="inlineStr">
        <is>
          <t>Order Group in status partial_needs_review</t>
        </is>
      </c>
      <c r="F24" s="42" t="inlineStr">
        <is>
          <t>Passed</t>
        </is>
      </c>
      <c r="G24" s="42" t="inlineStr">
        <is>
          <t>25/10/2026</t>
        </is>
      </c>
      <c r="H24" s="42" t="inlineStr">
        <is>
          <t>GitHub Actions CI</t>
        </is>
      </c>
      <c r="I24" s="42" t="n"/>
      <c r="J24" s="42" t="n"/>
      <c r="K24" s="42" t="n"/>
      <c r="L24" s="42" t="n"/>
      <c r="M24" s="42" t="n"/>
      <c r="N24" s="42" t="n"/>
      <c r="O24" s="45" t="inlineStr">
        <is>
          <t>transition asserted (auto-cancel)</t>
        </is>
      </c>
      <c r="P24" s="45" t="inlineStr">
        <is>
          <t>All orders cancelled</t>
        </is>
      </c>
      <c r="Q24" s="45" t="inlineStr">
        <is>
          <t>Automated (Jest, CI) – be/src/modules/order-groups/enums/allowed-status-transitions.spec.ts</t>
        </is>
      </c>
      <c r="R24" s="45" t="inlineStr">
        <is>
          <t>Passed in CI (GitHub Actions run #258, commit 1a3101c, 25/10/2026)</t>
        </is>
      </c>
    </row>
    <row r="25">
      <c r="A25" s="42" t="inlineStr">
        <is>
          <t>TC-ST14</t>
        </is>
      </c>
      <c r="B25" s="43" t="inlineStr">
        <is>
          <t>[Transition] Order Group pending_approval → approved_for_packing</t>
        </is>
      </c>
      <c r="C25" s="43" t="inlineStr">
        <is>
          <t>1. Group in pending_approval
2. Approve plan</t>
        </is>
      </c>
      <c r="D25" s="103" t="inlineStr">
        <is>
          <t>Status becomes approved_for_packing; invalid jumps from pending_approval are rejected (ORD_GROUP state error)</t>
        </is>
      </c>
      <c r="E25" s="103" t="inlineStr">
        <is>
          <t>Order Group in status pending_approval</t>
        </is>
      </c>
      <c r="F25" s="42" t="inlineStr">
        <is>
          <t>Passed</t>
        </is>
      </c>
      <c r="G25" s="42" t="inlineStr">
        <is>
          <t>25/10/2026</t>
        </is>
      </c>
      <c r="H25" s="42" t="inlineStr">
        <is>
          <t>GitHub Actions CI</t>
        </is>
      </c>
      <c r="I25" s="42" t="n"/>
      <c r="J25" s="42" t="n"/>
      <c r="K25" s="42" t="n"/>
      <c r="L25" s="42" t="n"/>
      <c r="M25" s="42" t="n"/>
      <c r="N25" s="42" t="n"/>
      <c r="O25" s="45" t="inlineStr">
        <is>
          <t>transition asserted (happy path)</t>
        </is>
      </c>
      <c r="P25" s="45" t="inlineStr">
        <is>
          <t>Approve plan</t>
        </is>
      </c>
      <c r="Q25" s="45" t="inlineStr">
        <is>
          <t>Automated (Jest, CI) – be/src/modules/order-groups/enums/allowed-status-transitions.spec.ts</t>
        </is>
      </c>
      <c r="R25" s="45" t="inlineStr">
        <is>
          <t>Passed in CI (GitHub Actions run #258, commit 1a3101c, 25/10/2026)</t>
        </is>
      </c>
    </row>
    <row r="26">
      <c r="A26" s="42" t="inlineStr">
        <is>
          <t>TC-ST15</t>
        </is>
      </c>
      <c r="B26" s="43" t="inlineStr">
        <is>
          <t>[Transition] Order Group pending_approval → picked</t>
        </is>
      </c>
      <c r="C26" s="43" t="inlineStr">
        <is>
          <t>1. Group in pending_approval
2. Reject plan / recompute</t>
        </is>
      </c>
      <c r="D26" s="103" t="inlineStr">
        <is>
          <t>Status becomes picked; invalid jumps from pending_approval are rejected (ORD_GROUP state error)</t>
        </is>
      </c>
      <c r="E26" s="103" t="inlineStr">
        <is>
          <t>Order Group in status pending_approval</t>
        </is>
      </c>
      <c r="F26" s="42" t="inlineStr">
        <is>
          <t>Passed</t>
        </is>
      </c>
      <c r="G26" s="42" t="inlineStr">
        <is>
          <t>25/10/2026</t>
        </is>
      </c>
      <c r="H26" s="42" t="inlineStr">
        <is>
          <t>GitHub Actions CI</t>
        </is>
      </c>
      <c r="I26" s="42" t="n"/>
      <c r="J26" s="42" t="n"/>
      <c r="K26" s="42" t="n"/>
      <c r="L26" s="42" t="n"/>
      <c r="M26" s="42" t="n"/>
      <c r="N26" s="42" t="n"/>
      <c r="O26" s="45" t="inlineStr">
        <is>
          <t>transition asserted (reject plan)</t>
        </is>
      </c>
      <c r="P26" s="45" t="inlineStr">
        <is>
          <t>Reject plan / recompute</t>
        </is>
      </c>
      <c r="Q26" s="45" t="inlineStr">
        <is>
          <t>Automated (Jest, CI) – be/src/modules/order-groups/enums/allowed-status-transitions.spec.ts</t>
        </is>
      </c>
      <c r="R26" s="45" t="inlineStr">
        <is>
          <t>Passed in CI (GitHub Actions run #258, commit 1a3101c, 25/10/2026)</t>
        </is>
      </c>
    </row>
    <row r="27">
      <c r="A27" s="42" t="inlineStr">
        <is>
          <t>TC-ST16</t>
        </is>
      </c>
      <c r="B27" s="43" t="inlineStr">
        <is>
          <t>[Transition] Order Group pending_approval → canceled</t>
        </is>
      </c>
      <c r="C27" s="43" t="inlineStr">
        <is>
          <t>1. Group in pending_approval
2. All orders cancelled</t>
        </is>
      </c>
      <c r="D27" s="103" t="inlineStr">
        <is>
          <t>Status becomes canceled; invalid jumps from pending_approval are rejected (ORD_GROUP state error)</t>
        </is>
      </c>
      <c r="E27" s="103" t="inlineStr">
        <is>
          <t>Order Group in status pending_approval</t>
        </is>
      </c>
      <c r="F27" s="42" t="inlineStr">
        <is>
          <t>Passed</t>
        </is>
      </c>
      <c r="G27" s="42" t="inlineStr">
        <is>
          <t>25/10/2026</t>
        </is>
      </c>
      <c r="H27" s="42" t="inlineStr">
        <is>
          <t>GitHub Actions CI</t>
        </is>
      </c>
      <c r="I27" s="42" t="n"/>
      <c r="J27" s="42" t="n"/>
      <c r="K27" s="42" t="n"/>
      <c r="L27" s="42" t="n"/>
      <c r="M27" s="42" t="n"/>
      <c r="N27" s="42" t="n"/>
      <c r="O27" s="45" t="inlineStr">
        <is>
          <t>transition asserted (auto-cancel)</t>
        </is>
      </c>
      <c r="P27" s="45" t="inlineStr">
        <is>
          <t>All orders cancelled</t>
        </is>
      </c>
      <c r="Q27" s="45" t="inlineStr">
        <is>
          <t>Automated (Jest, CI) – be/src/modules/order-groups/enums/allowed-status-transitions.spec.ts</t>
        </is>
      </c>
      <c r="R27" s="45" t="inlineStr">
        <is>
          <t>Passed in CI (GitHub Actions run #258, commit 1a3101c, 25/10/2026)</t>
        </is>
      </c>
    </row>
    <row r="28">
      <c r="A28" s="42" t="inlineStr">
        <is>
          <t>TC-ST17</t>
        </is>
      </c>
      <c r="B28" s="43" t="inlineStr">
        <is>
          <t>[Transition] Order Group approved_for_packing → packed</t>
        </is>
      </c>
      <c r="C28" s="43" t="inlineStr">
        <is>
          <t>1. Group in approved_for_packing
2. Last parcel sealed</t>
        </is>
      </c>
      <c r="D28" s="103" t="inlineStr">
        <is>
          <t>Status becomes packed; invalid jumps from approved_for_packing are rejected (ORD_GROUP state error)</t>
        </is>
      </c>
      <c r="E28" s="103" t="inlineStr">
        <is>
          <t>Order Group in status approved_for_packing</t>
        </is>
      </c>
      <c r="F28" s="42" t="inlineStr">
        <is>
          <t>Passed</t>
        </is>
      </c>
      <c r="G28" s="42" t="inlineStr">
        <is>
          <t>25/10/2026</t>
        </is>
      </c>
      <c r="H28" s="42" t="inlineStr">
        <is>
          <t>GitHub Actions CI</t>
        </is>
      </c>
      <c r="I28" s="42" t="n"/>
      <c r="J28" s="42" t="n"/>
      <c r="K28" s="42" t="n"/>
      <c r="L28" s="42" t="n"/>
      <c r="M28" s="42" t="n"/>
      <c r="N28" s="42" t="n"/>
      <c r="O28" s="45" t="inlineStr">
        <is>
          <t>transition asserted (happy path)</t>
        </is>
      </c>
      <c r="P28" s="45" t="inlineStr">
        <is>
          <t>Last parcel sealed</t>
        </is>
      </c>
      <c r="Q28" s="45" t="inlineStr">
        <is>
          <t>Automated (Jest, CI) – be/src/modules/order-groups/enums/allowed-status-transitions.spec.ts</t>
        </is>
      </c>
      <c r="R28" s="45" t="inlineStr">
        <is>
          <t>Passed in CI (GitHub Actions run #258, commit 1a3101c, 25/10/2026)</t>
        </is>
      </c>
    </row>
    <row r="29">
      <c r="A29" s="42" t="inlineStr">
        <is>
          <t>TC-ST18</t>
        </is>
      </c>
      <c r="B29" s="43" t="inlineStr">
        <is>
          <t>[Transition] Order Group approved_for_packing → pending_approval</t>
        </is>
      </c>
      <c r="C29" s="43" t="inlineStr">
        <is>
          <t>1. Group in approved_for_packing
2. Undo approval</t>
        </is>
      </c>
      <c r="D29" s="103" t="inlineStr">
        <is>
          <t>Status becomes pending_approval; invalid jumps from approved_for_packing are rejected (ORD_GROUP state error)</t>
        </is>
      </c>
      <c r="E29" s="103" t="inlineStr">
        <is>
          <t>Order Group in status approved_for_packing</t>
        </is>
      </c>
      <c r="F29" s="42" t="inlineStr">
        <is>
          <t>Passed</t>
        </is>
      </c>
      <c r="G29" s="42" t="inlineStr">
        <is>
          <t>25/10/2026</t>
        </is>
      </c>
      <c r="H29" s="42" t="inlineStr">
        <is>
          <t>GitHub Actions CI</t>
        </is>
      </c>
      <c r="I29" s="42" t="n"/>
      <c r="J29" s="42" t="n"/>
      <c r="K29" s="42" t="n"/>
      <c r="L29" s="42" t="n"/>
      <c r="M29" s="42" t="n"/>
      <c r="N29" s="42" t="n"/>
      <c r="O29" s="45" t="inlineStr">
        <is>
          <t>transition asserted (undo approve)</t>
        </is>
      </c>
      <c r="P29" s="45" t="inlineStr">
        <is>
          <t>Undo approval</t>
        </is>
      </c>
      <c r="Q29" s="45" t="inlineStr">
        <is>
          <t>Automated (Jest, CI) – be/src/modules/order-groups/enums/allowed-status-transitions.spec.ts</t>
        </is>
      </c>
      <c r="R29" s="45" t="inlineStr">
        <is>
          <t>Passed in CI (GitHub Actions run #258, commit 1a3101c, 25/10/2026)</t>
        </is>
      </c>
    </row>
    <row r="30">
      <c r="A30" s="42" t="inlineStr">
        <is>
          <t>TC-ST19</t>
        </is>
      </c>
      <c r="B30" s="43" t="inlineStr">
        <is>
          <t>[Transition] Order Group approved_for_packing → picked</t>
        </is>
      </c>
      <c r="C30" s="43" t="inlineStr">
        <is>
          <t>1. Group in approved_for_packing
2. Recompute after approval</t>
        </is>
      </c>
      <c r="D30" s="103" t="inlineStr">
        <is>
          <t>Status becomes picked; invalid jumps from approved_for_packing are rejected (ORD_GROUP state error)</t>
        </is>
      </c>
      <c r="E30" s="103" t="inlineStr">
        <is>
          <t>Order Group in status approved_for_packing</t>
        </is>
      </c>
      <c r="F30" s="42" t="inlineStr">
        <is>
          <t>Pending</t>
        </is>
      </c>
      <c r="G30" s="42" t="inlineStr"/>
      <c r="H30" s="42" t="inlineStr">
        <is>
          <t>Việt</t>
        </is>
      </c>
      <c r="I30" s="42" t="n"/>
      <c r="J30" s="42" t="n"/>
      <c r="K30" s="42" t="n"/>
      <c r="L30" s="42" t="n"/>
      <c r="M30" s="42" t="n"/>
      <c r="N30" s="42" t="n"/>
      <c r="O30" s="45" t="inlineStr"/>
      <c r="P30" s="45" t="inlineStr">
        <is>
          <t>Recompute after approval</t>
        </is>
      </c>
      <c r="Q30" s="45" t="inlineStr">
        <is>
          <t>Manual: trigger the action on the portal and check the group status</t>
        </is>
      </c>
      <c r="R30" s="45" t="inlineStr">
        <is>
          <t>Not executed yet – planned for the Verification stage (23/11–04/12/2026)</t>
        </is>
      </c>
    </row>
    <row r="31">
      <c r="A31" s="42" t="inlineStr">
        <is>
          <t>TC-ST20</t>
        </is>
      </c>
      <c r="B31" s="43" t="inlineStr">
        <is>
          <t>[Transition] Order Group approved_for_packing → canceled</t>
        </is>
      </c>
      <c r="C31" s="43" t="inlineStr">
        <is>
          <t>1. Group in approved_for_packing
2. All orders cancelled</t>
        </is>
      </c>
      <c r="D31" s="103" t="inlineStr">
        <is>
          <t>Status becomes canceled; invalid jumps from approved_for_packing are rejected (ORD_GROUP state error)</t>
        </is>
      </c>
      <c r="E31" s="103" t="inlineStr">
        <is>
          <t>Order Group in status approved_for_packing</t>
        </is>
      </c>
      <c r="F31" s="42" t="inlineStr">
        <is>
          <t>Passed</t>
        </is>
      </c>
      <c r="G31" s="42" t="inlineStr">
        <is>
          <t>25/10/2026</t>
        </is>
      </c>
      <c r="H31" s="42" t="inlineStr">
        <is>
          <t>GitHub Actions CI</t>
        </is>
      </c>
      <c r="I31" s="42" t="n"/>
      <c r="J31" s="42" t="n"/>
      <c r="K31" s="42" t="n"/>
      <c r="L31" s="42" t="n"/>
      <c r="M31" s="42" t="n"/>
      <c r="N31" s="42" t="n"/>
      <c r="O31" s="45" t="inlineStr">
        <is>
          <t>transition asserted (auto-cancel)</t>
        </is>
      </c>
      <c r="P31" s="45" t="inlineStr">
        <is>
          <t>All orders cancelled</t>
        </is>
      </c>
      <c r="Q31" s="45" t="inlineStr">
        <is>
          <t>Automated (Jest, CI) – be/src/modules/order-groups/enums/allowed-status-transitions.spec.ts</t>
        </is>
      </c>
      <c r="R31" s="45" t="inlineStr">
        <is>
          <t>Passed in CI (GitHub Actions run #258, commit 1a3101c, 25/10/2026)</t>
        </is>
      </c>
    </row>
    <row r="32">
      <c r="A32" s="42" t="inlineStr">
        <is>
          <t>TC-ST21</t>
        </is>
      </c>
      <c r="B32" s="43" t="inlineStr">
        <is>
          <t>[Transition] Order Group approved_for_packing → picking</t>
        </is>
      </c>
      <c r="C32" s="43" t="inlineStr">
        <is>
          <t>1. Group in approved_for_packing
2. Damaged / missing item while packing, back to picking</t>
        </is>
      </c>
      <c r="D32" s="103" t="inlineStr">
        <is>
          <t>Status becomes picking; invalid jumps from approved_for_packing are rejected (ORD_GROUP state error)</t>
        </is>
      </c>
      <c r="E32" s="103" t="inlineStr">
        <is>
          <t>Order Group in status approved_for_packing</t>
        </is>
      </c>
      <c r="F32" s="42" t="inlineStr">
        <is>
          <t>Passed</t>
        </is>
      </c>
      <c r="G32" s="42" t="inlineStr">
        <is>
          <t>25/10/2026</t>
        </is>
      </c>
      <c r="H32" s="42" t="inlineStr">
        <is>
          <t>GitHub Actions CI</t>
        </is>
      </c>
      <c r="I32" s="42" t="n"/>
      <c r="J32" s="42" t="n"/>
      <c r="K32" s="42" t="n"/>
      <c r="L32" s="42" t="n"/>
      <c r="M32" s="42" t="n"/>
      <c r="N32" s="42" t="n"/>
      <c r="O32" s="45" t="inlineStr">
        <is>
          <t>transition asserted (back to picking)</t>
        </is>
      </c>
      <c r="P32" s="45" t="inlineStr">
        <is>
          <t>Damaged / missing item while packing, back to picking</t>
        </is>
      </c>
      <c r="Q32" s="45" t="inlineStr">
        <is>
          <t>Automated (Jest, CI) – be/src/modules/order-groups/enums/allowed-status-transitions.spec.ts</t>
        </is>
      </c>
      <c r="R32" s="45" t="inlineStr">
        <is>
          <t>Passed in CI (GitHub Actions run #258, commit 1a3101c, 25/10/2026)</t>
        </is>
      </c>
    </row>
    <row r="33">
      <c r="A33" s="42" t="inlineStr">
        <is>
          <t>TC-ST22</t>
        </is>
      </c>
      <c r="B33" s="43" t="inlineStr">
        <is>
          <t>[Transition] Order Group packed → shipped</t>
        </is>
      </c>
      <c r="C33" s="43" t="inlineStr">
        <is>
          <t>1. Group in packed
2. Shipment created</t>
        </is>
      </c>
      <c r="D33" s="103" t="inlineStr">
        <is>
          <t>Status becomes shipped; invalid jumps from packed are rejected (ORD_GROUP state error)</t>
        </is>
      </c>
      <c r="E33" s="103" t="inlineStr">
        <is>
          <t>Order Group in status packed</t>
        </is>
      </c>
      <c r="F33" s="42" t="inlineStr">
        <is>
          <t>Passed</t>
        </is>
      </c>
      <c r="G33" s="42" t="inlineStr">
        <is>
          <t>25/10/2026</t>
        </is>
      </c>
      <c r="H33" s="42" t="inlineStr">
        <is>
          <t>GitHub Actions CI</t>
        </is>
      </c>
      <c r="I33" s="42" t="n"/>
      <c r="J33" s="42" t="n"/>
      <c r="K33" s="42" t="n"/>
      <c r="L33" s="42" t="n"/>
      <c r="M33" s="42" t="n"/>
      <c r="N33" s="42" t="n"/>
      <c r="O33" s="45" t="inlineStr">
        <is>
          <t>transition asserted (happy path)</t>
        </is>
      </c>
      <c r="P33" s="45" t="inlineStr">
        <is>
          <t>Shipment created</t>
        </is>
      </c>
      <c r="Q33" s="45" t="inlineStr">
        <is>
          <t>Automated (Jest, CI) – be/src/modules/order-groups/enums/allowed-status-transitions.spec.ts</t>
        </is>
      </c>
      <c r="R33" s="45" t="inlineStr">
        <is>
          <t>Passed in CI (GitHub Actions run #258, commit 1a3101c, 25/10/2026)</t>
        </is>
      </c>
    </row>
    <row r="34">
      <c r="A34" s="42" t="inlineStr">
        <is>
          <t>TC-ST23</t>
        </is>
      </c>
      <c r="B34" s="43" t="inlineStr">
        <is>
          <t>[Transition] Order Group packed → canceled</t>
        </is>
      </c>
      <c r="C34" s="43" t="inlineStr">
        <is>
          <t>1. Group in packed
2. Orders cancelled after packing (unpack parcels)</t>
        </is>
      </c>
      <c r="D34" s="103" t="inlineStr">
        <is>
          <t>Status becomes canceled; invalid jumps from packed are rejected (ORD_GROUP state error)</t>
        </is>
      </c>
      <c r="E34" s="103" t="inlineStr">
        <is>
          <t>Order Group in status packed</t>
        </is>
      </c>
      <c r="F34" s="42" t="inlineStr">
        <is>
          <t>Passed</t>
        </is>
      </c>
      <c r="G34" s="42" t="inlineStr">
        <is>
          <t>25/10/2026</t>
        </is>
      </c>
      <c r="H34" s="42" t="inlineStr">
        <is>
          <t>GitHub Actions CI</t>
        </is>
      </c>
      <c r="I34" s="42" t="n"/>
      <c r="J34" s="42" t="n"/>
      <c r="K34" s="42" t="n"/>
      <c r="L34" s="42" t="n"/>
      <c r="M34" s="42" t="n"/>
      <c r="N34" s="42" t="n"/>
      <c r="O34" s="45" t="inlineStr">
        <is>
          <t>transition asserted (packed → canceled)</t>
        </is>
      </c>
      <c r="P34" s="45" t="inlineStr">
        <is>
          <t>Orders cancelled after packing (unpack parcels)</t>
        </is>
      </c>
      <c r="Q34" s="45" t="inlineStr">
        <is>
          <t>Automated (Jest, CI) – be/src/modules/order-groups/enums/allowed-status-transitions.spec.ts</t>
        </is>
      </c>
      <c r="R34" s="45" t="inlineStr">
        <is>
          <t>Passed in CI (GitHub Actions run #258, commit 1a3101c, 25/10/2026)</t>
        </is>
      </c>
    </row>
    <row r="35">
      <c r="A35" s="42" t="inlineStr">
        <is>
          <t>TC-ST24</t>
        </is>
      </c>
      <c r="B35" s="43" t="inlineStr">
        <is>
          <t>[Transition] Order Group packed → approved_for_packing</t>
        </is>
      </c>
      <c r="C35" s="43" t="inlineStr">
        <is>
          <t>1. Group in packed
2. Reopen / repack a parcel</t>
        </is>
      </c>
      <c r="D35" s="103" t="inlineStr">
        <is>
          <t>Status becomes approved_for_packing; invalid jumps from packed are rejected (ORD_GROUP state error)</t>
        </is>
      </c>
      <c r="E35" s="103" t="inlineStr">
        <is>
          <t>Order Group in status packed</t>
        </is>
      </c>
      <c r="F35" s="42" t="inlineStr">
        <is>
          <t>Pending</t>
        </is>
      </c>
      <c r="G35" s="42" t="inlineStr"/>
      <c r="H35" s="42" t="inlineStr">
        <is>
          <t>Thuận</t>
        </is>
      </c>
      <c r="I35" s="42" t="n"/>
      <c r="J35" s="42" t="n"/>
      <c r="K35" s="42" t="n"/>
      <c r="L35" s="42" t="n"/>
      <c r="M35" s="42" t="n"/>
      <c r="N35" s="42" t="n"/>
      <c r="O35" s="45" t="inlineStr"/>
      <c r="P35" s="45" t="inlineStr">
        <is>
          <t>Reopen / repack a parcel</t>
        </is>
      </c>
      <c r="Q35" s="45" t="inlineStr">
        <is>
          <t>Manual: trigger the action on the portal and check the group status</t>
        </is>
      </c>
      <c r="R35" s="45" t="inlineStr">
        <is>
          <t>Not executed yet – planned for the Verification stage (23/11–04/12/2026)</t>
        </is>
      </c>
    </row>
    <row r="36">
      <c r="A36" s="42" t="inlineStr">
        <is>
          <t>TC-ST25</t>
        </is>
      </c>
      <c r="B36" s="43" t="inlineStr">
        <is>
          <t>[Transition] Order Group shipped → delivered</t>
        </is>
      </c>
      <c r="C36" s="43" t="inlineStr">
        <is>
          <t>1. Group in shipped
2. Carrier delivered</t>
        </is>
      </c>
      <c r="D36" s="103" t="inlineStr">
        <is>
          <t>Status becomes delivered; invalid jumps from shipped are rejected (ORD_GROUP state error)</t>
        </is>
      </c>
      <c r="E36" s="103" t="inlineStr">
        <is>
          <t>Order Group in status shipped</t>
        </is>
      </c>
      <c r="F36" s="42" t="inlineStr">
        <is>
          <t>Passed</t>
        </is>
      </c>
      <c r="G36" s="42" t="inlineStr">
        <is>
          <t>25/10/2026</t>
        </is>
      </c>
      <c r="H36" s="42" t="inlineStr">
        <is>
          <t>GitHub Actions CI</t>
        </is>
      </c>
      <c r="I36" s="42" t="n"/>
      <c r="J36" s="42" t="n"/>
      <c r="K36" s="42" t="n"/>
      <c r="L36" s="42" t="n"/>
      <c r="M36" s="42" t="n"/>
      <c r="N36" s="42" t="n"/>
      <c r="O36" s="45" t="inlineStr">
        <is>
          <t>transition asserted (happy path)</t>
        </is>
      </c>
      <c r="P36" s="45" t="inlineStr">
        <is>
          <t>Carrier delivered</t>
        </is>
      </c>
      <c r="Q36" s="45" t="inlineStr">
        <is>
          <t>Automated (Jest, CI) – be/src/modules/order-groups/enums/allowed-status-transitions.spec.ts</t>
        </is>
      </c>
      <c r="R36" s="45" t="inlineStr">
        <is>
          <t>Passed in CI (GitHub Actions run #258, commit 1a3101c, 25/10/2026)</t>
        </is>
      </c>
    </row>
    <row r="37">
      <c r="A37" s="42" t="inlineStr">
        <is>
          <t>TC-ST26</t>
        </is>
      </c>
      <c r="B37" s="43" t="inlineStr">
        <is>
          <t>[Transition] Order Group shipped → returned</t>
        </is>
      </c>
      <c r="C37" s="43" t="inlineStr">
        <is>
          <t>1. Group in shipped
2. Returned to warehouse after failed delivery</t>
        </is>
      </c>
      <c r="D37" s="103" t="inlineStr">
        <is>
          <t>Status becomes returned; invalid jumps from shipped are rejected (ORD_GROUP state error)</t>
        </is>
      </c>
      <c r="E37" s="103" t="inlineStr">
        <is>
          <t>Order Group in status shipped</t>
        </is>
      </c>
      <c r="F37" s="42" t="inlineStr">
        <is>
          <t>Passed</t>
        </is>
      </c>
      <c r="G37" s="42" t="inlineStr">
        <is>
          <t>25/10/2026</t>
        </is>
      </c>
      <c r="H37" s="42" t="inlineStr">
        <is>
          <t>GitHub Actions CI</t>
        </is>
      </c>
      <c r="I37" s="42" t="n"/>
      <c r="J37" s="42" t="n"/>
      <c r="K37" s="42" t="n"/>
      <c r="L37" s="42" t="n"/>
      <c r="M37" s="42" t="n"/>
      <c r="N37" s="42" t="n"/>
      <c r="O37" s="45" t="inlineStr">
        <is>
          <t>transition asserted (shipped → returned)</t>
        </is>
      </c>
      <c r="P37" s="45" t="inlineStr">
        <is>
          <t>Returned to warehouse after failed delivery</t>
        </is>
      </c>
      <c r="Q37" s="45" t="inlineStr">
        <is>
          <t>Automated (Jest, CI) – be/src/modules/order-groups/enums/allowed-status-transitions.spec.ts</t>
        </is>
      </c>
      <c r="R37" s="45" t="inlineStr">
        <is>
          <t>Passed in CI (GitHub Actions run #258, commit 1a3101c, 25/10/2026)</t>
        </is>
      </c>
    </row>
    <row r="38">
      <c r="A38" s="42" t="inlineStr">
        <is>
          <t>TC-ST27</t>
        </is>
      </c>
      <c r="B38" s="43" t="inlineStr">
        <is>
          <t>[Transition] Order Group shipped → packed</t>
        </is>
      </c>
      <c r="C38" s="43" t="inlineStr">
        <is>
          <t>1. Group in shipped
2. GHN order cancelled before pickup</t>
        </is>
      </c>
      <c r="D38" s="103" t="inlineStr">
        <is>
          <t>Status becomes packed; invalid jumps from shipped are rejected (ORD_GROUP state error)</t>
        </is>
      </c>
      <c r="E38" s="103" t="inlineStr">
        <is>
          <t>Order Group in status shipped</t>
        </is>
      </c>
      <c r="F38" s="42" t="inlineStr">
        <is>
          <t>Passed</t>
        </is>
      </c>
      <c r="G38" s="42" t="inlineStr">
        <is>
          <t>25/10/2026</t>
        </is>
      </c>
      <c r="H38" s="42" t="inlineStr">
        <is>
          <t>GitHub Actions CI</t>
        </is>
      </c>
      <c r="I38" s="42" t="n"/>
      <c r="J38" s="42" t="n"/>
      <c r="K38" s="42" t="n"/>
      <c r="L38" s="42" t="n"/>
      <c r="M38" s="42" t="n"/>
      <c r="N38" s="42" t="n"/>
      <c r="O38" s="45" t="inlineStr">
        <is>
          <t>transition asserted (shipped → packed)</t>
        </is>
      </c>
      <c r="P38" s="45" t="inlineStr">
        <is>
          <t>GHN order cancelled before pickup</t>
        </is>
      </c>
      <c r="Q38" s="45" t="inlineStr">
        <is>
          <t>Automated (Jest, CI) – be/src/modules/order-groups/enums/allowed-status-transitions.spec.ts</t>
        </is>
      </c>
      <c r="R38" s="45" t="inlineStr">
        <is>
          <t>Passed in CI (GitHub Actions run #258, commit 1a3101c, 25/10/2026)</t>
        </is>
      </c>
    </row>
    <row r="39">
      <c r="A39" s="42" t="inlineStr">
        <is>
          <t>TC-ST28</t>
        </is>
      </c>
      <c r="B39" s="43" t="inlineStr">
        <is>
          <t>[Transition] Order Group delivered → returning</t>
        </is>
      </c>
      <c r="C39" s="43" t="inlineStr">
        <is>
          <t>1. Group in delivered
2. Full return ticket created</t>
        </is>
      </c>
      <c r="D39" s="103" t="inlineStr">
        <is>
          <t>Status becomes returning; invalid jumps from delivered are rejected (ORD_GROUP state error)</t>
        </is>
      </c>
      <c r="E39" s="103" t="inlineStr">
        <is>
          <t>Order Group in status delivered</t>
        </is>
      </c>
      <c r="F39" s="42" t="inlineStr">
        <is>
          <t>Passed</t>
        </is>
      </c>
      <c r="G39" s="42" t="inlineStr">
        <is>
          <t>25/10/2026</t>
        </is>
      </c>
      <c r="H39" s="42" t="inlineStr">
        <is>
          <t>GitHub Actions CI</t>
        </is>
      </c>
      <c r="I39" s="42" t="n"/>
      <c r="J39" s="42" t="n"/>
      <c r="K39" s="42" t="n"/>
      <c r="L39" s="42" t="n"/>
      <c r="M39" s="42" t="n"/>
      <c r="N39" s="42" t="n"/>
      <c r="O39" s="45" t="inlineStr">
        <is>
          <t>transition asserted (returning)</t>
        </is>
      </c>
      <c r="P39" s="45" t="inlineStr">
        <is>
          <t>Full return ticket created</t>
        </is>
      </c>
      <c r="Q39" s="45" t="inlineStr">
        <is>
          <t>Automated (Jest, CI) – be/src/modules/order-groups/enums/allowed-status-transitions.spec.ts</t>
        </is>
      </c>
      <c r="R39" s="45" t="inlineStr">
        <is>
          <t>Passed in CI (GitHub Actions run #258, commit 1a3101c, 25/10/2026)</t>
        </is>
      </c>
    </row>
    <row r="40">
      <c r="A40" s="42" t="inlineStr">
        <is>
          <t>TC-ST29</t>
        </is>
      </c>
      <c r="B40" s="43" t="inlineStr">
        <is>
          <t>[Transition] Order Group delivered → returned</t>
        </is>
      </c>
      <c r="C40" s="43" t="inlineStr">
        <is>
          <t>1. Group in delivered
2. Return received after delivery</t>
        </is>
      </c>
      <c r="D40" s="103" t="inlineStr">
        <is>
          <t>Status becomes returned; invalid jumps from delivered are rejected (ORD_GROUP state error)</t>
        </is>
      </c>
      <c r="E40" s="103" t="inlineStr">
        <is>
          <t>Order Group in status delivered</t>
        </is>
      </c>
      <c r="F40" s="42" t="inlineStr">
        <is>
          <t>Passed</t>
        </is>
      </c>
      <c r="G40" s="42" t="inlineStr">
        <is>
          <t>25/10/2026</t>
        </is>
      </c>
      <c r="H40" s="42" t="inlineStr">
        <is>
          <t>GitHub Actions CI</t>
        </is>
      </c>
      <c r="I40" s="42" t="n"/>
      <c r="J40" s="42" t="n"/>
      <c r="K40" s="42" t="n"/>
      <c r="L40" s="42" t="n"/>
      <c r="M40" s="42" t="n"/>
      <c r="N40" s="42" t="n"/>
      <c r="O40" s="45" t="inlineStr">
        <is>
          <t>transition asserted (delivered → returned)</t>
        </is>
      </c>
      <c r="P40" s="45" t="inlineStr">
        <is>
          <t>Return received after delivery</t>
        </is>
      </c>
      <c r="Q40" s="45" t="inlineStr">
        <is>
          <t>Automated (Jest, CI) – be/src/modules/order-groups/enums/allowed-status-transitions.spec.ts</t>
        </is>
      </c>
      <c r="R40" s="45" t="inlineStr">
        <is>
          <t>Passed in CI (GitHub Actions run #258, commit 1a3101c, 25/10/2026)</t>
        </is>
      </c>
    </row>
    <row r="41">
      <c r="A41" s="42" t="inlineStr">
        <is>
          <t>TC-ST30</t>
        </is>
      </c>
      <c r="B41" s="43" t="inlineStr">
        <is>
          <t>[Transition] Order Group returning → returned</t>
        </is>
      </c>
      <c r="C41" s="43" t="inlineStr">
        <is>
          <t>1. Group in returning
2. Returned goods received</t>
        </is>
      </c>
      <c r="D41" s="103" t="inlineStr">
        <is>
          <t>Status becomes returned; invalid jumps from returning are rejected (ORD_GROUP state error)</t>
        </is>
      </c>
      <c r="E41" s="103" t="inlineStr">
        <is>
          <t>Order Group in status returning</t>
        </is>
      </c>
      <c r="F41" s="42" t="inlineStr">
        <is>
          <t>Passed</t>
        </is>
      </c>
      <c r="G41" s="42" t="inlineStr">
        <is>
          <t>25/10/2026</t>
        </is>
      </c>
      <c r="H41" s="42" t="inlineStr">
        <is>
          <t>GitHub Actions CI</t>
        </is>
      </c>
      <c r="I41" s="42" t="n"/>
      <c r="J41" s="42" t="n"/>
      <c r="K41" s="42" t="n"/>
      <c r="L41" s="42" t="n"/>
      <c r="M41" s="42" t="n"/>
      <c r="N41" s="42" t="n"/>
      <c r="O41" s="45" t="inlineStr">
        <is>
          <t>transition asserted (next statuses of returning)</t>
        </is>
      </c>
      <c r="P41" s="45" t="inlineStr">
        <is>
          <t>Returned goods received</t>
        </is>
      </c>
      <c r="Q41" s="45" t="inlineStr">
        <is>
          <t>Automated (Jest, CI) – be/src/modules/order-groups/enums/allowed-status-transitions.spec.ts</t>
        </is>
      </c>
      <c r="R41" s="45" t="inlineStr">
        <is>
          <t>Passed in CI (GitHub Actions run #258, commit 1a3101c, 25/10/2026)</t>
        </is>
      </c>
    </row>
    <row r="42">
      <c r="A42" s="42" t="inlineStr">
        <is>
          <t>TC-ST31</t>
        </is>
      </c>
      <c r="B42" s="43" t="inlineStr">
        <is>
          <t>[Transition] Order Group returning → delivered</t>
        </is>
      </c>
      <c r="C42" s="43" t="inlineStr">
        <is>
          <t>1. Group in returning
2. Return ticket rejected / cancelled</t>
        </is>
      </c>
      <c r="D42" s="103" t="inlineStr">
        <is>
          <t>Status becomes delivered; invalid jumps from returning are rejected (ORD_GROUP state error)</t>
        </is>
      </c>
      <c r="E42" s="103" t="inlineStr">
        <is>
          <t>Order Group in status returning</t>
        </is>
      </c>
      <c r="F42" s="42" t="inlineStr">
        <is>
          <t>Passed</t>
        </is>
      </c>
      <c r="G42" s="42" t="inlineStr">
        <is>
          <t>25/10/2026</t>
        </is>
      </c>
      <c r="H42" s="42" t="inlineStr">
        <is>
          <t>GitHub Actions CI</t>
        </is>
      </c>
      <c r="I42" s="42" t="n"/>
      <c r="J42" s="42" t="n"/>
      <c r="K42" s="42" t="n"/>
      <c r="L42" s="42" t="n"/>
      <c r="M42" s="42" t="n"/>
      <c r="N42" s="42" t="n"/>
      <c r="O42" s="45" t="inlineStr">
        <is>
          <t>transition asserted (next statuses of returning)</t>
        </is>
      </c>
      <c r="P42" s="45" t="inlineStr">
        <is>
          <t>Return ticket rejected / cancelled</t>
        </is>
      </c>
      <c r="Q42" s="45" t="inlineStr">
        <is>
          <t>Automated (Jest, CI) – be/src/modules/order-groups/enums/allowed-status-transitions.spec.ts</t>
        </is>
      </c>
      <c r="R42" s="45" t="inlineStr">
        <is>
          <t>Passed in CI (GitHub Actions run #258, commit 1a3101c, 25/10/2026)</t>
        </is>
      </c>
    </row>
    <row r="43">
      <c r="A43" s="42" t="inlineStr">
        <is>
          <t>TC-ST32</t>
        </is>
      </c>
      <c r="B43" s="43" t="inlineStr">
        <is>
          <t>[Transition] Order Group returned → canceled</t>
        </is>
      </c>
      <c r="C43" s="43" t="inlineStr">
        <is>
          <t>1. Group in returned
2. Inspection done and stock handled</t>
        </is>
      </c>
      <c r="D43" s="103" t="inlineStr">
        <is>
          <t>Status becomes canceled; invalid jumps from returned are rejected (ORD_GROUP state error)</t>
        </is>
      </c>
      <c r="E43" s="103" t="inlineStr">
        <is>
          <t>Order Group in status returned</t>
        </is>
      </c>
      <c r="F43" s="42" t="inlineStr">
        <is>
          <t>Passed</t>
        </is>
      </c>
      <c r="G43" s="42" t="inlineStr">
        <is>
          <t>25/10/2026</t>
        </is>
      </c>
      <c r="H43" s="42" t="inlineStr">
        <is>
          <t>GitHub Actions CI</t>
        </is>
      </c>
      <c r="I43" s="42" t="n"/>
      <c r="J43" s="42" t="n"/>
      <c r="K43" s="42" t="n"/>
      <c r="L43" s="42" t="n"/>
      <c r="M43" s="42" t="n"/>
      <c r="N43" s="42" t="n"/>
      <c r="O43" s="45" t="inlineStr">
        <is>
          <t>transition asserted (next statuses of returned)</t>
        </is>
      </c>
      <c r="P43" s="45" t="inlineStr">
        <is>
          <t>Inspection done and stock handled</t>
        </is>
      </c>
      <c r="Q43" s="45" t="inlineStr">
        <is>
          <t>Automated (Jest, CI) – be/src/modules/order-groups/enums/allowed-status-transitions.spec.ts</t>
        </is>
      </c>
      <c r="R43" s="45" t="inlineStr">
        <is>
          <t>Passed in CI (GitHub Actions run #258, commit 1a3101c, 25/10/2026)</t>
        </is>
      </c>
    </row>
    <row r="44">
      <c r="A44" s="42" t="inlineStr">
        <is>
          <t>TC-ST33</t>
        </is>
      </c>
      <c r="B44" s="43" t="inlineStr">
        <is>
          <t>[Transition] Order Group returned → delivered</t>
        </is>
      </c>
      <c r="C44" s="43" t="inlineStr">
        <is>
          <t>1. Group in returned
2. Return ticket cancelled</t>
        </is>
      </c>
      <c r="D44" s="103" t="inlineStr">
        <is>
          <t>Status becomes delivered; invalid jumps from returned are rejected (ORD_GROUP state error)</t>
        </is>
      </c>
      <c r="E44" s="103" t="inlineStr">
        <is>
          <t>Order Group in status returned</t>
        </is>
      </c>
      <c r="F44" s="42" t="inlineStr">
        <is>
          <t>Passed</t>
        </is>
      </c>
      <c r="G44" s="42" t="inlineStr">
        <is>
          <t>25/10/2026</t>
        </is>
      </c>
      <c r="H44" s="42" t="inlineStr">
        <is>
          <t>GitHub Actions CI</t>
        </is>
      </c>
      <c r="I44" s="42" t="n"/>
      <c r="J44" s="42" t="n"/>
      <c r="K44" s="42" t="n"/>
      <c r="L44" s="42" t="n"/>
      <c r="M44" s="42" t="n"/>
      <c r="N44" s="42" t="n"/>
      <c r="O44" s="45" t="inlineStr">
        <is>
          <t>transition asserted (next statuses of returned)</t>
        </is>
      </c>
      <c r="P44" s="45" t="inlineStr">
        <is>
          <t>Return ticket cancelled</t>
        </is>
      </c>
      <c r="Q44" s="45" t="inlineStr">
        <is>
          <t>Automated (Jest, CI) – be/src/modules/order-groups/enums/allowed-status-transitions.spec.ts</t>
        </is>
      </c>
      <c r="R44" s="45" t="inlineStr">
        <is>
          <t>Passed in CI (GitHub Actions run #258, commit 1a3101c, 25/10/2026)</t>
        </is>
      </c>
    </row>
  </sheetData>
  <mergeCells count="3">
    <mergeCell ref="B3:E3"/>
    <mergeCell ref="B2:E2"/>
    <mergeCell ref="B4:E4"/>
  </mergeCells>
  <dataValidations count="1">
    <dataValidation sqref="F12:F50 I12:I50 L12:L50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0" summaryRight="0"/>
    <pageSetUpPr fitToPage="1"/>
  </sheetPr>
  <dimension ref="A2:T1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26" customWidth="1" style="61" min="16" max="16"/>
    <col width="40" customWidth="1" style="51" min="17" max="17"/>
    <col hidden="1" width="34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Non-functional requirements</t>
        </is>
      </c>
      <c r="C2" s="154" t="n"/>
      <c r="D2" s="154" t="n"/>
      <c r="E2" s="155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n"/>
      <c r="T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Each agreed NFR measured with its metric and threshold (Design Brief section 7)</t>
        </is>
      </c>
      <c r="C3" s="156" t="n"/>
      <c r="D3" s="156" t="n"/>
      <c r="E3" s="157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n"/>
      <c r="T3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COUNTA(A12:A1000)-COUNTIF(A12:A1000,"►*")</f>
        <v/>
      </c>
      <c r="C4" s="156" t="n"/>
      <c r="D4" s="156" t="n"/>
      <c r="E4" s="157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n"/>
      <c r="T4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n"/>
      <c r="T5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COUNTIF($F$12:$F$1000,B$5)</f>
        <v/>
      </c>
      <c r="C6" s="92">
        <f>COUNTIF($F$12:$F$1000,C$5)</f>
        <v/>
      </c>
      <c r="D6" s="92">
        <f>COUNTIF($F$12:$F$1000,D$5)</f>
        <v/>
      </c>
      <c r="E6" s="98">
        <f>COUNTIF($F$12:$F$1000,E$5)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COUNTIF($I$12:$I$1000,B$5)</f>
        <v/>
      </c>
      <c r="C7" s="92">
        <f>COUNTIF($I$12:$I$1000,C$5)</f>
        <v/>
      </c>
      <c r="D7" s="92">
        <f>COUNTIF($I$12:$I$1000,D$5)</f>
        <v/>
      </c>
      <c r="E7" s="98">
        <f>COUNTIF($I$12:$I$1000,E$5)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COUNTIF($L$12:$L$1000,B$5)</f>
        <v/>
      </c>
      <c r="C8" s="96">
        <f>COUNTIF($L$12:$L$1000,C$5)</f>
        <v/>
      </c>
      <c r="D8" s="96">
        <f>COUNTIF($L$12:$L$1000,D$5)</f>
        <v/>
      </c>
      <c r="E8" s="97">
        <f>COUNTIF($L$12:$L$1000,E$5)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P10" s="90" t="inlineStr">
        <is>
          <t>Test data</t>
        </is>
      </c>
      <c r="Q10" s="90" t="inlineStr">
        <is>
          <t>Run method / evidence</t>
        </is>
      </c>
      <c r="R10" s="90" t="inlineStr">
        <is>
          <t>Actual result</t>
        </is>
      </c>
    </row>
    <row r="11" ht="15.75" customFormat="1" customHeight="1" s="32">
      <c r="A11" s="86" t="inlineStr">
        <is>
          <t>► Non-functional requirements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TC-NFR1</t>
        </is>
      </c>
      <c r="B12" s="43" t="inlineStr">
        <is>
          <t>[NFR] New Lazada order visible in OptiPack</t>
        </is>
      </c>
      <c r="C12" s="43" t="inlineStr">
        <is>
          <t>1. Create a Lazada test order and note the time
2. Read the sync job log time</t>
        </is>
      </c>
      <c r="D12" s="103" t="inlineStr">
        <is>
          <t>≤ sync interval + 1 min (≤ 6 min)</t>
        </is>
      </c>
      <c r="E12" s="103" t="inlineStr">
        <is>
          <t>Shop sync interval = 5 min</t>
        </is>
      </c>
      <c r="F12" s="42" t="inlineStr">
        <is>
          <t>Pending</t>
        </is>
      </c>
      <c r="G12" s="42" t="inlineStr"/>
      <c r="H12" s="42" t="inlineStr">
        <is>
          <t>Thuận</t>
        </is>
      </c>
      <c r="I12" s="42" t="n"/>
      <c r="J12" s="42" t="n"/>
      <c r="K12" s="42" t="n"/>
      <c r="L12" s="42" t="n"/>
      <c r="M12" s="42" t="n"/>
      <c r="N12" s="42" t="n"/>
      <c r="O12" s="45" t="inlineStr"/>
      <c r="P12" s="45" t="inlineStr"/>
      <c r="Q12" s="45" t="inlineStr">
        <is>
          <t>Manual measurement on staging (Lazada test shop)</t>
        </is>
      </c>
      <c r="R12" s="45" t="inlineStr">
        <is>
          <t>Not executed yet – planned for the Verification stage (23/11–04/12/2026)</t>
        </is>
      </c>
    </row>
    <row r="13" outlineLevel="1" ht="14" customHeight="1">
      <c r="A13" s="42" t="inlineStr">
        <is>
          <t>TC-NFR2</t>
        </is>
      </c>
      <c r="B13" s="43" t="inlineStr">
        <is>
          <t>[NFR] Packing plan computation time</t>
        </is>
      </c>
      <c r="C13" s="43" t="inlineStr">
        <is>
          <t>1. Run be/scripts/solver-benchmark.ts on the 300-order benchmark</t>
        </is>
      </c>
      <c r="D13" s="103" t="inlineStr">
        <is>
          <t>BRKGA p95 ≤ 1 s per order</t>
        </is>
      </c>
      <c r="E13" s="103" t="inlineStr">
        <is>
          <t>300-order benchmark data</t>
        </is>
      </c>
      <c r="F13" s="42" t="inlineStr">
        <is>
          <t>Passed</t>
        </is>
      </c>
      <c r="G13" s="42" t="inlineStr">
        <is>
          <t>04/10/2026</t>
        </is>
      </c>
      <c r="H13" s="42" t="inlineStr">
        <is>
          <t>Thi</t>
        </is>
      </c>
      <c r="I13" s="42" t="n"/>
      <c r="J13" s="42" t="n"/>
      <c r="K13" s="42" t="n"/>
      <c r="L13" s="42" t="n"/>
      <c r="M13" s="42" t="n"/>
      <c r="N13" s="42" t="n"/>
      <c r="O13" s="45" t="inlineStr">
        <is>
          <t>be/scripts/benchmark-results/solver-v2.json</t>
        </is>
      </c>
      <c r="P13" s="45" t="inlineStr"/>
      <c r="Q13" s="45" t="inlineStr">
        <is>
          <t>Automated script (not in CI) – be/scripts/solver-benchmark.ts</t>
        </is>
      </c>
      <c r="R13" s="45" t="inlineStr">
        <is>
          <t>Passed – recorded run of 04/10/2026: p95 560 ms on 300 orders (solver-v2.json); not re-run on tag review-2</t>
        </is>
      </c>
    </row>
    <row r="14" outlineLevel="1" ht="14" customHeight="1">
      <c r="A14" s="42" t="inlineStr">
        <is>
          <t>TC-NFR3</t>
        </is>
      </c>
      <c r="B14" s="43" t="inlineStr">
        <is>
          <t>[NFR] Lockout and role checks</t>
        </is>
      </c>
      <c r="C14" s="43" t="inlineStr">
        <is>
          <t>1. Wrong password ×5
2. Call an endpoint with a wrong role</t>
        </is>
      </c>
      <c r="D14" s="103" t="inlineStr">
        <is>
          <t>Account locked 15 min; 403 for a wrong role</t>
        </is>
      </c>
      <c r="E14" s="103" t="inlineStr">
        <is>
          <t>Active account</t>
        </is>
      </c>
      <c r="F14" s="42" t="inlineStr">
        <is>
          <t>Passed</t>
        </is>
      </c>
      <c r="G14" s="42" t="inlineStr">
        <is>
          <t>25/10/2026</t>
        </is>
      </c>
      <c r="H14" s="42" t="inlineStr">
        <is>
          <t>GitHub Actions CI</t>
        </is>
      </c>
      <c r="I14" s="42" t="n"/>
      <c r="J14" s="42" t="n"/>
      <c r="K14" s="42" t="n"/>
      <c r="L14" s="42" t="n"/>
      <c r="M14" s="42" t="n"/>
      <c r="N14" s="42" t="n"/>
      <c r="O14" s="45" t="inlineStr">
        <is>
          <t>locked account → 403; wrong role → 403 (roles.guard.spec.ts:45)</t>
        </is>
      </c>
      <c r="P14" s="45" t="inlineStr"/>
      <c r="Q14" s="45" t="inlineStr">
        <is>
          <t>Automated (Jest, CI) – be/src/modules/auth/auth.service.spec.ts:170</t>
        </is>
      </c>
      <c r="R14" s="45" t="inlineStr">
        <is>
          <t>Passed in CI (GitHub Actions run #258, commit 1a3101c, 25/10/2026)</t>
        </is>
      </c>
    </row>
    <row r="15" ht="15.75" customFormat="1" customHeight="1" s="32">
      <c r="A15" s="42" t="inlineStr">
        <is>
          <t>TC-NFR4</t>
        </is>
      </c>
      <c r="B15" s="43" t="inlineStr">
        <is>
          <t>[NFR] Status write-back retry</t>
        </is>
      </c>
      <c r="C15" s="43" t="inlineStr">
        <is>
          <t>1. AURELLE returns an error
2. Job retries with back-off until the limit</t>
        </is>
      </c>
      <c r="D15" s="103" t="inlineStr">
        <is>
          <t>Retry with back-off, no row lost; failed after 8 attempts</t>
        </is>
      </c>
      <c r="E15" s="103" t="inlineStr">
        <is>
          <t>Outbox row queued</t>
        </is>
      </c>
      <c r="F15" s="42" t="inlineStr">
        <is>
          <t>Passed</t>
        </is>
      </c>
      <c r="G15" s="42" t="inlineStr">
        <is>
          <t>25/10/2026</t>
        </is>
      </c>
      <c r="H15" s="42" t="inlineStr">
        <is>
          <t>GitHub Actions CI</t>
        </is>
      </c>
      <c r="I15" s="42" t="n"/>
      <c r="J15" s="42" t="n"/>
      <c r="K15" s="42" t="n"/>
      <c r="L15" s="42" t="n"/>
      <c r="M15" s="42" t="n"/>
      <c r="N15" s="42" t="n"/>
      <c r="O15" s="45" t="inlineStr">
        <is>
          <t>error from marketplace → attempts+1, retry scheduled; failed after max attempts (line 129)</t>
        </is>
      </c>
      <c r="P15" s="45" t="inlineStr"/>
      <c r="Q15" s="45" t="inlineStr">
        <is>
          <t>Automated (Jest, CI) – be/src/modules/marketplace-writeback/marketplace-writeback.service.spec.ts:115</t>
        </is>
      </c>
      <c r="R15" s="45" t="inlineStr">
        <is>
          <t>Passed in CI (GitHub Actions run #258, commit 1a3101c, 25/10/2026)</t>
        </is>
      </c>
    </row>
    <row r="16" outlineLevel="1" ht="14" customHeight="1">
      <c r="A16" s="42" t="inlineStr">
        <is>
          <t>TC-NFR5</t>
        </is>
      </c>
      <c r="B16" s="43" t="inlineStr">
        <is>
          <t>[NFR] Repeated scan is not counted twice</t>
        </is>
      </c>
      <c r="C16" s="43" t="inlineStr">
        <is>
          <t>1. Send the same pick scan twice with the same client_event_id</t>
        </is>
      </c>
      <c r="D16" s="103" t="inlineStr">
        <is>
          <t>Second scan returns the first result; stock decremented once</t>
        </is>
      </c>
      <c r="E16" s="103" t="inlineStr">
        <is>
          <t>Group in picking</t>
        </is>
      </c>
      <c r="F16" s="42" t="inlineStr">
        <is>
          <t>Passed</t>
        </is>
      </c>
      <c r="G16" s="42" t="inlineStr">
        <is>
          <t>25/10/2026</t>
        </is>
      </c>
      <c r="H16" s="42" t="inlineStr">
        <is>
          <t>GitHub Actions CI</t>
        </is>
      </c>
      <c r="I16" s="42" t="n"/>
      <c r="J16" s="42" t="n"/>
      <c r="K16" s="42" t="n"/>
      <c r="L16" s="42" t="n"/>
      <c r="M16" s="42" t="n"/>
      <c r="N16" s="42" t="n"/>
      <c r="O16" s="45" t="inlineStr">
        <is>
          <t>client_event_id already processed → previous result, no second decrement</t>
        </is>
      </c>
      <c r="P16" s="45" t="inlineStr"/>
      <c r="Q16" s="45" t="inlineStr">
        <is>
          <t>Automated (Jest, CI) – be/src/modules/order-groups/order-groups.service.pickItem.spec.ts:309</t>
        </is>
      </c>
      <c r="R16" s="45" t="inlineStr">
        <is>
          <t>Passed in CI (GitHub Actions run #258, commit 1a3101c, 25/10/2026)</t>
        </is>
      </c>
    </row>
    <row r="17" outlineLevel="1" ht="14" customHeight="1">
      <c r="A17" s="42" t="inlineStr">
        <is>
          <t>TC-NFR6</t>
        </is>
      </c>
      <c r="B17" s="43" t="inlineStr">
        <is>
          <t>[NFR] Packing plan without the CP-SAT service</t>
        </is>
      </c>
      <c r="C17" s="43" t="inlineStr">
        <is>
          <t>1. Stop the packer service
2. Compute a plan</t>
        </is>
      </c>
      <c r="D17" s="103" t="inlineStr">
        <is>
          <t>Plan still produced (BRKGA); cp_sat = unavailable</t>
        </is>
      </c>
      <c r="E17" s="103" t="inlineStr">
        <is>
          <t>PACKER_URL not reachable</t>
        </is>
      </c>
      <c r="F17" s="42" t="inlineStr">
        <is>
          <t>Passed</t>
        </is>
      </c>
      <c r="G17" s="42" t="inlineStr">
        <is>
          <t>25/10/2026</t>
        </is>
      </c>
      <c r="H17" s="42" t="inlineStr">
        <is>
          <t>GitHub Actions CI</t>
        </is>
      </c>
      <c r="I17" s="42" t="n"/>
      <c r="J17" s="42" t="n"/>
      <c r="K17" s="42" t="n"/>
      <c r="L17" s="42" t="n"/>
      <c r="M17" s="42" t="n"/>
      <c r="N17" s="42" t="n"/>
      <c r="O17" s="45" t="inlineStr">
        <is>
          <t>no CP-SAT: plan still produced, cp_sat = unavailable</t>
        </is>
      </c>
      <c r="P17" s="45" t="inlineStr"/>
      <c r="Q17" s="45" t="inlineStr">
        <is>
          <t>Automated (Jest, CI) – be/src/modules/packing/packing-plan.service.spec.ts:288</t>
        </is>
      </c>
      <c r="R17" s="45" t="inlineStr">
        <is>
          <t>Passed in CI (GitHub Actions run #258, commit 1a3101c, 25/10/2026)</t>
        </is>
      </c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</sheetData>
  <mergeCells count="3">
    <mergeCell ref="B3:E3"/>
    <mergeCell ref="B2:E2"/>
    <mergeCell ref="B4:E4"/>
  </mergeCells>
  <dataValidations count="1">
    <dataValidation sqref="F12:F23 I12:I23 L12:L23" showDropDown="0" showInputMessage="0" showErrorMessage="0" allowBlank="1" type="list">
      <formula1>$T$2:$T$5</formula1>
    </dataValidation>
  </dataValidations>
  <printOptions gridLines="0"/>
  <pageMargins left="0.4" right="0.4" top="0.5" bottom="0.5" header="0.5" footer="0.5"/>
  <pageSetup orientation="landscape" paperSize="9" fitToHeight="0" fitToWidth="1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:title xmlns:dc="http://purl.org/dc/elements/1.1/">Test case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v1/0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2026-10-25T16:40:07Z</dcterms:modified>
  <cp:lastModifiedBy>KienNT</cp:lastModifiedBy>
  <cp:category>BM</cp:category>
  <cp:lastPrinted>2010-11-12T10:33:20Z</cp:lastPrinted>
</cp:coreProperties>
</file>