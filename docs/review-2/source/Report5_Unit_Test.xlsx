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uideline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Function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UT-AUTH-LOGIN" sheetId="5" state="visible" r:id="rId5"/>
    <sheet xmlns:r="http://schemas.openxmlformats.org/officeDocument/2006/relationships" name="UT-PICK-ITEM" sheetId="6" state="visible" r:id="rId6"/>
    <sheet xmlns:r="http://schemas.openxmlformats.org/officeDocument/2006/relationships" name="UT-GROUP-TRANS" sheetId="7" state="visible" r:id="rId7"/>
    <sheet xmlns:r="http://schemas.openxmlformats.org/officeDocument/2006/relationships" name="UT-RETURNS" sheetId="8" state="visible" r:id="rId8"/>
    <sheet xmlns:r="http://schemas.openxmlformats.org/officeDocument/2006/relationships" name="UT-SOLVER" sheetId="9" state="visible" r:id="rId9"/>
  </sheets>
  <definedNames>
    <definedName name="ACTION" hidden="0" function="0" vbProcedure="0">#REF!</definedName>
    <definedName name="_xlnm.Print_Area" localSheetId="0">'Guideline'!$A$1:$A$48</definedName>
    <definedName name="_xlnm.Print_Area" localSheetId="2">'Functions'!$A$1:$H$39</definedName>
    <definedName name="Z_2C0D9096_8D85_462A_A9B5_0B488ADB4269__wvu_PrintArea" localSheetId="3" hidden="0" function="0" vbProcedure="0">Statistics!$A:$I</definedName>
    <definedName name="Z_6F1DCD5D_5DAC_4817_BF40_2B66F6F593E6__wvu_PrintArea" localSheetId="3" hidden="0" function="0" vbProcedure="0">Statistics!$A:$I</definedName>
    <definedName name="Z_BE54E0AD_3725_4423_92D7_4F1C045BE1BC__wvu_PrintArea" localSheetId="3" hidden="0" function="0" vbProcedure="0">Statistics!$A:$I</definedName>
    <definedName name="_xlnm.Print_Area" localSheetId="3">'Statistics'!$A$1:$I$41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d\-mmm\-yy;@"/>
    <numFmt numFmtId="165" formatCode="[$-409]d\-mmm\-yy"/>
    <numFmt numFmtId="166" formatCode="[$-409]m/d/yyyy"/>
    <numFmt numFmtId="167" formatCode="mm/dd"/>
  </numFmts>
  <fonts count="45">
    <font>
      <name val="ＭＳ Ｐゴシック"/>
      <charset val="128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ＭＳ ゴシック"/>
      <charset val="128"/>
      <family val="3"/>
      <sz val="9"/>
    </font>
    <font>
      <name val="Tahoma"/>
      <family val="2"/>
      <sz val="11"/>
    </font>
    <font>
      <name val="Tahoma"/>
      <family val="2"/>
      <b val="1"/>
      <sz val="18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b val="1"/>
      <sz val="14"/>
    </font>
    <font>
      <name val="Tahoma"/>
      <family val="2"/>
      <sz val="10"/>
    </font>
    <font>
      <name val="Tahoma"/>
      <family val="2"/>
      <b val="1"/>
      <sz val="10"/>
    </font>
    <font>
      <name val="Tahoma"/>
      <family val="2"/>
      <i val="1"/>
      <sz val="10"/>
    </font>
    <font>
      <name val="Tahoma"/>
      <family val="2"/>
      <i val="1"/>
      <sz val="11"/>
    </font>
    <font>
      <name val="Tahoma"/>
      <family val="2"/>
      <sz val="10.5"/>
    </font>
    <font>
      <name val="Tahoma"/>
      <family val="2"/>
      <b val="1"/>
      <color rgb="FFFF0000"/>
      <sz val="26"/>
    </font>
    <font>
      <name val="Tahoma"/>
      <family val="2"/>
      <b val="1"/>
      <color rgb="FF000000"/>
      <sz val="20"/>
    </font>
    <font>
      <name val="Tahoma"/>
      <family val="2"/>
      <b val="1"/>
      <color rgb="FF993300"/>
      <sz val="10"/>
    </font>
    <font>
      <name val="Tahoma"/>
      <family val="2"/>
      <i val="1"/>
      <color rgb="FF008000"/>
      <sz val="10"/>
    </font>
    <font>
      <name val="Tahoma"/>
      <family val="2"/>
      <b val="1"/>
      <color rgb="FFFFFFFF"/>
      <sz val="10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10"/>
    </font>
    <font>
      <name val="Tahoma"/>
      <family val="2"/>
      <b val="1"/>
      <color rgb="FFFF0000"/>
      <sz val="10"/>
    </font>
    <font>
      <name val="Tahoma"/>
      <family val="2"/>
      <color rgb="FF0000FF"/>
      <sz val="10"/>
      <u val="single"/>
    </font>
    <font>
      <name val="ＭＳ Ｐゴシック"/>
      <charset val="128"/>
      <family val="3"/>
      <color rgb="FF0000FF"/>
      <sz val="11"/>
      <u val="single"/>
    </font>
    <font>
      <name val="Tahoma"/>
      <family val="2"/>
      <color rgb="FF0000FF"/>
      <sz val="11"/>
      <u val="single"/>
    </font>
    <font>
      <name val="Tahoma"/>
      <family val="2"/>
      <color rgb="FFFFFFFF"/>
      <sz val="10"/>
    </font>
    <font>
      <name val="Tahoma"/>
      <family val="2"/>
      <b val="1"/>
      <color rgb="FFFFFFFF"/>
      <sz val="11"/>
    </font>
    <font>
      <name val="Tahoma"/>
      <family val="2"/>
      <color rgb="FF000000"/>
      <sz val="10"/>
    </font>
    <font>
      <name val="ＭＳ Ｐゴシック"/>
      <family val="2"/>
      <b val="1"/>
      <color rgb="FF000000"/>
      <sz val="9"/>
    </font>
    <font>
      <name val="ＭＳ Ｐゴシック"/>
      <family val="2"/>
      <color rgb="FF000000"/>
      <sz val="9"/>
    </font>
    <font>
      <name val="ＭＳ Ｐゴシック"/>
      <family val="2"/>
      <color rgb="FF000000"/>
      <sz val="6.9"/>
    </font>
    <font>
      <name val="ＭＳ Ｐゴシック"/>
      <family val="2"/>
      <b val="1"/>
      <color rgb="FF000000"/>
      <sz val="11"/>
    </font>
    <font>
      <name val="ＭＳ Ｐゴシック"/>
      <family val="2"/>
      <color rgb="FF000000"/>
      <sz val="11"/>
    </font>
    <font>
      <name val="ＭＳ Ｐゴシック"/>
      <family val="2"/>
      <color rgb="FF000000"/>
      <sz val="8.5"/>
    </font>
    <font>
      <name val="Tahoma"/>
      <family val="2"/>
      <sz val="8"/>
    </font>
    <font>
      <name val="Tahoma"/>
      <family val="2"/>
      <b val="1"/>
      <sz val="8"/>
    </font>
    <font>
      <name val="Tahoma"/>
      <family val="2"/>
      <i val="1"/>
      <sz val="8"/>
    </font>
    <font>
      <name val="Tahoma"/>
      <family val="2"/>
      <b val="1"/>
      <color rgb="FFFFFFFF"/>
      <sz val="8"/>
    </font>
    <font>
      <name val="Tahoma"/>
      <family val="2"/>
      <color rgb="FFFFFFFF"/>
      <sz val="8"/>
    </font>
    <font>
      <name val="Tahoma"/>
      <family val="2"/>
      <color rgb="FF008000"/>
      <sz val="8"/>
    </font>
    <font>
      <name val="Courier New"/>
      <family val="3"/>
      <b val="1"/>
      <sz val="12"/>
    </font>
    <font>
      <name val="Courier New"/>
      <family val="3"/>
      <b val="1"/>
      <sz val="8"/>
    </font>
    <font>
      <name val="Courier New"/>
      <family val="3"/>
      <sz val="8"/>
    </font>
  </fonts>
  <fills count="7">
    <fill>
      <patternFill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FF9900"/>
        <bgColor rgb="FFFFCC00"/>
      </patternFill>
    </fill>
  </fills>
  <borders count="81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thin"/>
      <top style="thin"/>
      <bottom style="hair"/>
      <diagonal/>
    </border>
    <border>
      <left style="thin"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left style="hair"/>
      <right style="thin"/>
      <top style="hair"/>
      <bottom style="hair"/>
      <diagonal/>
    </border>
    <border>
      <left style="thin"/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thin"/>
      <top style="hair"/>
      <bottom style="thin"/>
      <diagonal/>
    </border>
    <border>
      <left/>
      <right/>
      <top style="thin"/>
      <bottom style="thin"/>
      <diagonal/>
    </border>
    <border>
      <left/>
      <right style="hair"/>
      <top style="thin"/>
      <bottom style="hair"/>
      <diagonal/>
    </border>
    <border>
      <left style="hair"/>
      <right/>
      <top style="thin"/>
      <bottom style="hair"/>
      <diagonal/>
    </border>
    <border>
      <left/>
      <right style="hair"/>
      <top style="hair"/>
      <bottom style="hair"/>
      <diagonal/>
    </border>
    <border>
      <left/>
      <right style="hair"/>
      <top style="hair"/>
      <bottom style="thin"/>
      <diagonal/>
    </border>
    <border>
      <left style="hair"/>
      <right style="medium"/>
      <top style="thin"/>
      <bottom style="hair"/>
      <diagonal/>
    </border>
    <border>
      <left style="hair"/>
      <right style="hair"/>
      <top/>
      <bottom style="hair"/>
      <diagonal/>
    </border>
    <border>
      <left/>
      <right/>
      <top/>
      <bottom style="medium"/>
      <diagonal/>
    </border>
    <border>
      <left style="medium"/>
      <right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/>
      <top/>
      <bottom/>
      <diagonal/>
    </border>
    <border>
      <left style="double"/>
      <right style="hair"/>
      <top style="double"/>
      <bottom style="medium">
        <color rgb="FFFFFFFF"/>
      </bottom>
      <diagonal/>
    </border>
    <border>
      <left/>
      <right/>
      <top style="double"/>
      <bottom style="medium">
        <color rgb="FFFFFFFF"/>
      </bottom>
      <diagonal/>
    </border>
    <border>
      <left/>
      <right style="double"/>
      <top style="double"/>
      <bottom style="medium">
        <color rgb="FFFFFFFF"/>
      </bottom>
      <diagonal/>
    </border>
    <border>
      <left style="double"/>
      <right style="thin"/>
      <top style="medium">
        <color rgb="FFFFFFFF"/>
      </top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double"/>
      <top/>
      <bottom style="thin"/>
      <diagonal/>
    </border>
    <border>
      <left style="double"/>
      <right style="thin"/>
      <top/>
      <bottom/>
      <diagonal/>
    </border>
    <border>
      <left style="thin"/>
      <right style="double"/>
      <top style="thin"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  <border>
      <left/>
      <right/>
      <top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double"/>
      <top style="thin"/>
      <bottom style="double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 style="double"/>
      <top style="thin"/>
      <bottom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double"/>
      <bottom style="thin"/>
      <diagonal/>
    </border>
    <border>
      <left style="double"/>
      <right style="thin"/>
      <top/>
      <bottom style="double"/>
      <diagonal/>
    </border>
    <border>
      <left style="medium"/>
      <right style="thin"/>
      <top style="medium"/>
      <bottom style="thin"/>
      <diagonal/>
    </border>
    <border>
      <left style="medium"/>
      <right style="thin"/>
      <top/>
      <bottom style="thin"/>
      <diagonal/>
    </border>
    <border>
      <left style="double"/>
      <right/>
      <top style="double"/>
      <bottom/>
      <diagonal/>
    </border>
    <border>
      <left/>
      <right/>
      <top style="double"/>
      <bottom style="thin"/>
      <diagonal/>
    </border>
    <border>
      <left/>
      <right style="double"/>
      <top style="double"/>
      <bottom style="thin"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 style="medium"/>
      <bottom style="thin"/>
      <diagonal/>
    </border>
    <border>
      <left/>
      <right style="thin"/>
      <top/>
      <bottom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 style="thin"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 style="double"/>
      <bottom/>
      <diagonal/>
    </border>
    <border>
      <left/>
      <right style="thin"/>
      <top style="double"/>
      <bottom style="thin"/>
      <diagonal/>
    </border>
  </borders>
  <cellStyleXfs count="13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25" fillId="0" borderId="0" applyAlignment="1">
      <alignment horizontal="general" vertical="center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577">
    <xf numFmtId="0" fontId="0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center"/>
    </xf>
    <xf numFmtId="0" fontId="8" fillId="2" borderId="0" applyAlignment="1" pivotButton="0" quotePrefix="0" xfId="0">
      <alignment horizontal="justify" vertical="bottom"/>
    </xf>
    <xf numFmtId="0" fontId="9" fillId="2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justify" vertical="bottom"/>
    </xf>
    <xf numFmtId="0" fontId="10" fillId="2" borderId="0" applyAlignment="1" pivotButton="0" quotePrefix="0" xfId="0">
      <alignment horizontal="justify" vertical="bottom" wrapText="1"/>
    </xf>
    <xf numFmtId="0" fontId="10" fillId="2" borderId="0" applyAlignment="1" pivotButton="0" quotePrefix="0" xfId="0">
      <alignment horizontal="left" vertical="bottom" wrapText="1"/>
    </xf>
    <xf numFmtId="0" fontId="12" fillId="2" borderId="0" applyAlignment="1" pivotButton="0" quotePrefix="0" xfId="0">
      <alignment horizontal="justify" vertical="bottom"/>
    </xf>
    <xf numFmtId="0" fontId="13" fillId="2" borderId="0" applyAlignment="1" pivotButton="0" quotePrefix="0" xfId="0">
      <alignment horizontal="general" vertical="center"/>
    </xf>
    <xf numFmtId="0" fontId="14" fillId="2" borderId="0" applyAlignment="1" pivotButton="0" quotePrefix="0" xfId="0">
      <alignment horizontal="justify" vertical="bottom"/>
    </xf>
    <xf numFmtId="0" fontId="11" fillId="2" borderId="0" applyAlignment="1" pivotButton="0" quotePrefix="0" xfId="0">
      <alignment horizontal="justify" vertical="bottom"/>
    </xf>
    <xf numFmtId="0" fontId="8" fillId="2" borderId="0" applyAlignment="1" pivotButton="0" quotePrefix="0" xfId="0">
      <alignment horizontal="general" vertical="center"/>
    </xf>
    <xf numFmtId="0" fontId="10" fillId="0" borderId="0" applyAlignment="1" pivotButton="0" quotePrefix="0" xfId="24">
      <alignment horizontal="left" vertical="bottom" indent="1"/>
    </xf>
    <xf numFmtId="0" fontId="10" fillId="0" borderId="0" applyAlignment="1" pivotButton="0" quotePrefix="0" xfId="24">
      <alignment horizontal="general" vertical="bottom"/>
    </xf>
    <xf numFmtId="0" fontId="15" fillId="0" borderId="1" applyAlignment="1" pivotButton="0" quotePrefix="0" xfId="24">
      <alignment horizontal="center" vertical="center"/>
    </xf>
    <xf numFmtId="0" fontId="16" fillId="0" borderId="2" applyAlignment="1" pivotButton="0" quotePrefix="0" xfId="24">
      <alignment horizontal="center" vertical="center"/>
    </xf>
    <xf numFmtId="0" fontId="10" fillId="0" borderId="0" applyAlignment="1" pivotButton="0" quotePrefix="0" xfId="24">
      <alignment horizontal="center" vertical="center"/>
    </xf>
    <xf numFmtId="0" fontId="17" fillId="3" borderId="0" applyAlignment="1" pivotButton="0" quotePrefix="0" xfId="24">
      <alignment horizontal="left" vertical="bottom" indent="1"/>
    </xf>
    <xf numFmtId="0" fontId="18" fillId="0" borderId="0" applyAlignment="1" pivotButton="0" quotePrefix="0" xfId="24">
      <alignment horizontal="left" vertical="bottom" indent="1"/>
    </xf>
    <xf numFmtId="0" fontId="10" fillId="3" borderId="0" applyAlignment="1" pivotButton="0" quotePrefix="0" xfId="24">
      <alignment horizontal="general" vertical="bottom"/>
    </xf>
    <xf numFmtId="0" fontId="11" fillId="3" borderId="2" applyAlignment="1" pivotButton="0" quotePrefix="0" xfId="24">
      <alignment horizontal="left" vertical="bottom"/>
    </xf>
    <xf numFmtId="0" fontId="12" fillId="0" borderId="2" applyAlignment="1" pivotButton="0" quotePrefix="0" xfId="24">
      <alignment horizontal="left" vertical="bottom"/>
    </xf>
    <xf numFmtId="0" fontId="10" fillId="0" borderId="3" applyAlignment="1" pivotButton="0" quotePrefix="0" xfId="24">
      <alignment horizontal="general" vertical="bottom"/>
    </xf>
    <xf numFmtId="0" fontId="12" fillId="0" borderId="3" applyAlignment="1" pivotButton="0" quotePrefix="0" xfId="24">
      <alignment horizontal="general" vertical="bottom"/>
    </xf>
    <xf numFmtId="0" fontId="11" fillId="3" borderId="2" applyAlignment="1" pivotButton="0" quotePrefix="0" xfId="24">
      <alignment horizontal="general" vertical="center"/>
    </xf>
    <xf numFmtId="0" fontId="12" fillId="0" borderId="2" applyAlignment="1" pivotButton="0" quotePrefix="0" xfId="24">
      <alignment horizontal="left" vertical="center"/>
    </xf>
    <xf numFmtId="0" fontId="12" fillId="0" borderId="3" applyAlignment="1" pivotButton="0" quotePrefix="0" xfId="24">
      <alignment horizontal="left" vertical="bottom" indent="1"/>
    </xf>
    <xf numFmtId="0" fontId="11" fillId="0" borderId="0" applyAlignment="1" pivotButton="0" quotePrefix="0" xfId="24">
      <alignment horizontal="general" vertical="bottom"/>
    </xf>
    <xf numFmtId="0" fontId="18" fillId="0" borderId="0" applyAlignment="1" pivotButton="0" quotePrefix="0" xfId="24">
      <alignment horizontal="left" vertical="bottom"/>
    </xf>
    <xf numFmtId="0" fontId="10" fillId="0" borderId="0" applyAlignment="1" pivotButton="0" quotePrefix="0" xfId="24">
      <alignment horizontal="general" vertical="bottom"/>
    </xf>
    <xf numFmtId="0" fontId="17" fillId="0" borderId="0" applyAlignment="1" pivotButton="0" quotePrefix="0" xfId="24">
      <alignment horizontal="left" vertical="bottom" indent="1"/>
    </xf>
    <xf numFmtId="0" fontId="18" fillId="0" borderId="0" applyAlignment="1" pivotButton="0" quotePrefix="0" xfId="24">
      <alignment horizontal="left" vertical="bottom" indent="1"/>
    </xf>
    <xf numFmtId="0" fontId="10" fillId="0" borderId="0" applyAlignment="1" pivotButton="0" quotePrefix="0" xfId="24">
      <alignment horizontal="general" vertical="bottom"/>
    </xf>
    <xf numFmtId="0" fontId="10" fillId="0" borderId="0" applyAlignment="1" pivotButton="0" quotePrefix="0" xfId="24">
      <alignment horizontal="general" vertical="bottom"/>
    </xf>
    <xf numFmtId="0" fontId="11" fillId="0" borderId="0" applyAlignment="1" pivotButton="0" quotePrefix="0" xfId="24">
      <alignment horizontal="left" vertical="bottom"/>
    </xf>
    <xf numFmtId="164" fontId="19" fillId="4" borderId="4" applyAlignment="1" pivotButton="0" quotePrefix="0" xfId="24">
      <alignment horizontal="center" vertical="center"/>
    </xf>
    <xf numFmtId="0" fontId="19" fillId="4" borderId="5" applyAlignment="1" pivotButton="0" quotePrefix="0" xfId="24">
      <alignment horizontal="center" vertical="center"/>
    </xf>
    <xf numFmtId="0" fontId="19" fillId="4" borderId="6" applyAlignment="1" pivotButton="0" quotePrefix="0" xfId="24">
      <alignment horizontal="center" vertical="center"/>
    </xf>
    <xf numFmtId="0" fontId="10" fillId="0" borderId="0" applyAlignment="1" pivotButton="0" quotePrefix="0" xfId="24">
      <alignment horizontal="general" vertical="center"/>
    </xf>
    <xf numFmtId="0" fontId="12" fillId="0" borderId="7" applyAlignment="1" pivotButton="0" quotePrefix="0" xfId="24">
      <alignment horizontal="general" vertical="top" wrapText="1"/>
    </xf>
    <xf numFmtId="49" fontId="10" fillId="0" borderId="8" applyAlignment="1" pivotButton="0" quotePrefix="0" xfId="24">
      <alignment horizontal="general" vertical="top"/>
    </xf>
    <xf numFmtId="0" fontId="10" fillId="0" borderId="8" applyAlignment="1" pivotButton="0" quotePrefix="0" xfId="24">
      <alignment horizontal="general" vertical="top"/>
    </xf>
    <xf numFmtId="165" fontId="10" fillId="0" borderId="8" applyAlignment="1" pivotButton="0" quotePrefix="0" xfId="24">
      <alignment horizontal="general" vertical="top"/>
    </xf>
    <xf numFmtId="0" fontId="12" fillId="0" borderId="9" applyAlignment="1" pivotButton="0" quotePrefix="0" xfId="24">
      <alignment horizontal="general" vertical="top" wrapText="1"/>
    </xf>
    <xf numFmtId="0" fontId="10" fillId="0" borderId="0" applyAlignment="1" pivotButton="0" quotePrefix="0" xfId="24">
      <alignment horizontal="general" vertical="top"/>
    </xf>
    <xf numFmtId="164" fontId="10" fillId="0" borderId="7" applyAlignment="1" pivotButton="0" quotePrefix="0" xfId="24">
      <alignment horizontal="general" vertical="top"/>
    </xf>
    <xf numFmtId="0" fontId="10" fillId="0" borderId="9" applyAlignment="1" pivotButton="0" quotePrefix="0" xfId="24">
      <alignment horizontal="general" vertical="top"/>
    </xf>
    <xf numFmtId="164" fontId="10" fillId="0" borderId="10" applyAlignment="1" pivotButton="0" quotePrefix="0" xfId="24">
      <alignment horizontal="general" vertical="top"/>
    </xf>
    <xf numFmtId="49" fontId="10" fillId="0" borderId="11" applyAlignment="1" pivotButton="0" quotePrefix="0" xfId="24">
      <alignment horizontal="general" vertical="top"/>
    </xf>
    <xf numFmtId="0" fontId="10" fillId="0" borderId="11" applyAlignment="1" pivotButton="0" quotePrefix="0" xfId="24">
      <alignment horizontal="general" vertical="top"/>
    </xf>
    <xf numFmtId="0" fontId="10" fillId="0" borderId="12" applyAlignment="1" pivotButton="0" quotePrefix="0" xfId="24">
      <alignment horizontal="general" vertical="top"/>
    </xf>
    <xf numFmtId="1" fontId="10" fillId="3" borderId="0" applyAlignment="1" pivotButton="0" quotePrefix="0" xfId="24">
      <alignment horizontal="general" vertical="bottom"/>
    </xf>
    <xf numFmtId="0" fontId="10" fillId="3" borderId="0" applyAlignment="1" pivotButton="0" quotePrefix="0" xfId="24">
      <alignment horizontal="left" vertical="bottom"/>
    </xf>
    <xf numFmtId="0" fontId="10" fillId="3" borderId="0" applyAlignment="1" pivotButton="0" quotePrefix="0" xfId="24">
      <alignment horizontal="left" vertical="bottom" wrapText="1"/>
    </xf>
    <xf numFmtId="1" fontId="10" fillId="3" borderId="0" applyAlignment="1" applyProtection="1" pivotButton="0" quotePrefix="0" xfId="24">
      <alignment horizontal="general" vertical="bottom"/>
      <protection locked="1" hidden="1"/>
    </xf>
    <xf numFmtId="0" fontId="16" fillId="3" borderId="0" applyAlignment="1" pivotButton="0" quotePrefix="0" xfId="24">
      <alignment horizontal="left" vertical="bottom"/>
    </xf>
    <xf numFmtId="0" fontId="22" fillId="3" borderId="0" applyAlignment="1" pivotButton="0" quotePrefix="0" xfId="24">
      <alignment horizontal="left" vertical="bottom"/>
    </xf>
    <xf numFmtId="0" fontId="23" fillId="3" borderId="0" applyAlignment="1" pivotButton="0" quotePrefix="0" xfId="24">
      <alignment horizontal="left" vertical="bottom"/>
    </xf>
    <xf numFmtId="1" fontId="11" fillId="3" borderId="1" applyAlignment="1" pivotButton="0" quotePrefix="0" xfId="24">
      <alignment horizontal="general" vertical="bottom"/>
    </xf>
    <xf numFmtId="0" fontId="12" fillId="3" borderId="2" applyAlignment="1" pivotButton="0" quotePrefix="0" xfId="24">
      <alignment horizontal="left" vertical="bottom"/>
    </xf>
    <xf numFmtId="1" fontId="11" fillId="3" borderId="2" applyAlignment="1" pivotButton="0" quotePrefix="0" xfId="24">
      <alignment horizontal="left" vertical="bottom"/>
    </xf>
    <xf numFmtId="0" fontId="12" fillId="3" borderId="1" applyAlignment="1" pivotButton="0" quotePrefix="0" xfId="24">
      <alignment horizontal="left" vertical="bottom"/>
    </xf>
    <xf numFmtId="0" fontId="12" fillId="3" borderId="13" applyAlignment="1" pivotButton="0" quotePrefix="0" xfId="24">
      <alignment horizontal="left" vertical="bottom"/>
    </xf>
    <xf numFmtId="0" fontId="12" fillId="3" borderId="3" applyAlignment="1" pivotButton="0" quotePrefix="0" xfId="24">
      <alignment horizontal="left" vertical="bottom"/>
    </xf>
    <xf numFmtId="1" fontId="11" fillId="3" borderId="2" applyAlignment="1" pivotButton="0" quotePrefix="0" xfId="24">
      <alignment horizontal="general" vertical="center" wrapText="1"/>
    </xf>
    <xf numFmtId="0" fontId="12" fillId="3" borderId="2" applyAlignment="1" pivotButton="0" quotePrefix="0" xfId="24">
      <alignment horizontal="left" vertical="top" wrapText="1"/>
    </xf>
    <xf numFmtId="0" fontId="10" fillId="3" borderId="0" applyAlignment="1" pivotButton="0" quotePrefix="0" xfId="24">
      <alignment horizontal="general" vertical="bottom" wrapText="1"/>
    </xf>
    <xf numFmtId="1" fontId="17" fillId="3" borderId="0" applyAlignment="1" pivotButton="0" quotePrefix="0" xfId="24">
      <alignment horizontal="general" vertical="bottom"/>
    </xf>
    <xf numFmtId="0" fontId="10" fillId="3" borderId="0" applyAlignment="1" pivotButton="0" quotePrefix="0" xfId="24">
      <alignment horizontal="general" vertical="bottom"/>
    </xf>
    <xf numFmtId="0" fontId="10" fillId="3" borderId="0" applyAlignment="1" pivotButton="0" quotePrefix="0" xfId="24">
      <alignment horizontal="general" vertical="bottom" wrapText="1"/>
    </xf>
    <xf numFmtId="1" fontId="10" fillId="3" borderId="0" applyAlignment="1" applyProtection="1" pivotButton="0" quotePrefix="0" xfId="24">
      <alignment horizontal="general" vertical="center"/>
      <protection locked="1" hidden="1"/>
    </xf>
    <xf numFmtId="0" fontId="10" fillId="3" borderId="0" applyAlignment="1" pivotButton="0" quotePrefix="0" xfId="24">
      <alignment horizontal="left" vertical="center"/>
    </xf>
    <xf numFmtId="0" fontId="10" fillId="3" borderId="0" applyAlignment="1" pivotButton="0" quotePrefix="0" xfId="24">
      <alignment horizontal="left" vertical="center" wrapText="1"/>
    </xf>
    <xf numFmtId="0" fontId="10" fillId="3" borderId="0" applyAlignment="1" pivotButton="0" quotePrefix="0" xfId="24">
      <alignment horizontal="general" vertical="center"/>
    </xf>
    <xf numFmtId="1" fontId="19" fillId="5" borderId="4" applyAlignment="1" pivotButton="0" quotePrefix="0" xfId="24">
      <alignment horizontal="center" vertical="center"/>
    </xf>
    <xf numFmtId="1" fontId="19" fillId="5" borderId="14" applyAlignment="1" pivotButton="0" quotePrefix="0" xfId="24">
      <alignment horizontal="center" vertical="center" wrapText="1"/>
    </xf>
    <xf numFmtId="1" fontId="19" fillId="5" borderId="14" applyAlignment="1" pivotButton="0" quotePrefix="0" xfId="24">
      <alignment horizontal="center" vertical="center"/>
    </xf>
    <xf numFmtId="0" fontId="19" fillId="5" borderId="5" applyAlignment="1" pivotButton="0" quotePrefix="0" xfId="24">
      <alignment horizontal="center" vertical="center"/>
    </xf>
    <xf numFmtId="0" fontId="19" fillId="5" borderId="5" applyAlignment="1" pivotButton="0" quotePrefix="0" xfId="24">
      <alignment horizontal="center" vertical="center" wrapText="1"/>
    </xf>
    <xf numFmtId="0" fontId="19" fillId="5" borderId="15" applyAlignment="1" pivotButton="0" quotePrefix="0" xfId="24">
      <alignment horizontal="center" vertical="center"/>
    </xf>
    <xf numFmtId="0" fontId="19" fillId="5" borderId="6" applyAlignment="1" pivotButton="0" quotePrefix="0" xfId="24">
      <alignment horizontal="center" vertical="center"/>
    </xf>
    <xf numFmtId="0" fontId="11" fillId="3" borderId="0" applyAlignment="1" pivotButton="0" quotePrefix="0" xfId="24">
      <alignment horizontal="center" vertical="bottom"/>
    </xf>
    <xf numFmtId="1" fontId="10" fillId="3" borderId="7" applyAlignment="1" pivotButton="0" quotePrefix="0" xfId="24">
      <alignment horizontal="center" vertical="center"/>
    </xf>
    <xf numFmtId="1" fontId="10" fillId="3" borderId="16" applyAlignment="1" pivotButton="0" quotePrefix="0" xfId="24">
      <alignment horizontal="general" vertical="center"/>
    </xf>
    <xf numFmtId="49" fontId="10" fillId="3" borderId="8" applyAlignment="1" pivotButton="0" quotePrefix="0" xfId="24">
      <alignment horizontal="left" vertical="center"/>
    </xf>
    <xf numFmtId="49" fontId="10" fillId="3" borderId="8" applyAlignment="1" pivotButton="0" quotePrefix="0" xfId="24">
      <alignment horizontal="left" vertical="center" wrapText="1"/>
    </xf>
    <xf numFmtId="0" fontId="24" fillId="3" borderId="8" applyAlignment="1" pivotButton="0" quotePrefix="0" xfId="20">
      <alignment horizontal="left" vertical="center"/>
    </xf>
    <xf numFmtId="0" fontId="10" fillId="3" borderId="9" applyAlignment="1" pivotButton="0" quotePrefix="0" xfId="24">
      <alignment horizontal="left" vertical="center"/>
    </xf>
    <xf numFmtId="0" fontId="10" fillId="3" borderId="8" applyAlignment="1" pivotButton="0" quotePrefix="0" xfId="24">
      <alignment horizontal="left" vertical="center"/>
    </xf>
    <xf numFmtId="1" fontId="10" fillId="3" borderId="10" applyAlignment="1" pivotButton="0" quotePrefix="0" xfId="24">
      <alignment horizontal="center" vertical="center"/>
    </xf>
    <xf numFmtId="1" fontId="10" fillId="3" borderId="17" applyAlignment="1" pivotButton="0" quotePrefix="0" xfId="24">
      <alignment horizontal="general" vertical="center"/>
    </xf>
    <xf numFmtId="49" fontId="10" fillId="3" borderId="11" applyAlignment="1" pivotButton="0" quotePrefix="0" xfId="24">
      <alignment horizontal="left" vertical="center"/>
    </xf>
    <xf numFmtId="49" fontId="10" fillId="3" borderId="11" applyAlignment="1" pivotButton="0" quotePrefix="0" xfId="24">
      <alignment horizontal="left" vertical="center" wrapText="1"/>
    </xf>
    <xf numFmtId="0" fontId="10" fillId="3" borderId="11" applyAlignment="1" pivotButton="0" quotePrefix="0" xfId="24">
      <alignment horizontal="left" vertical="center"/>
    </xf>
    <xf numFmtId="0" fontId="10" fillId="3" borderId="12" applyAlignment="1" pivotButton="0" quotePrefix="0" xfId="24">
      <alignment horizontal="left" vertical="center"/>
    </xf>
    <xf numFmtId="0" fontId="16" fillId="3" borderId="0" applyAlignment="1" pivotButton="0" quotePrefix="0" xfId="21">
      <alignment horizontal="center" vertical="bottom"/>
    </xf>
    <xf numFmtId="0" fontId="11" fillId="3" borderId="0" applyAlignment="1" pivotButton="0" quotePrefix="0" xfId="21">
      <alignment horizontal="general" vertical="bottom"/>
    </xf>
    <xf numFmtId="0" fontId="10" fillId="3" borderId="0" applyAlignment="1" pivotButton="0" quotePrefix="0" xfId="21">
      <alignment horizontal="general" vertical="bottom"/>
    </xf>
    <xf numFmtId="164" fontId="10" fillId="3" borderId="0" applyAlignment="1" pivotButton="0" quotePrefix="0" xfId="21">
      <alignment horizontal="general" vertical="bottom"/>
    </xf>
    <xf numFmtId="0" fontId="11" fillId="3" borderId="2" applyAlignment="1" pivotButton="0" quotePrefix="0" xfId="24">
      <alignment horizontal="left" vertical="center"/>
    </xf>
    <xf numFmtId="0" fontId="11" fillId="3" borderId="2" applyAlignment="1" pivotButton="0" quotePrefix="0" xfId="24">
      <alignment horizontal="center" vertical="bottom"/>
    </xf>
    <xf numFmtId="166" fontId="12" fillId="3" borderId="2" applyAlignment="1" pivotButton="0" quotePrefix="0" xfId="24">
      <alignment horizontal="left" vertical="top"/>
    </xf>
    <xf numFmtId="0" fontId="12" fillId="3" borderId="2" applyAlignment="1" pivotButton="0" quotePrefix="0" xfId="21">
      <alignment horizontal="general" vertical="top"/>
    </xf>
    <xf numFmtId="0" fontId="17" fillId="3" borderId="0" applyAlignment="1" pivotButton="0" quotePrefix="0" xfId="24">
      <alignment horizontal="general" vertical="bottom"/>
    </xf>
    <xf numFmtId="0" fontId="18" fillId="3" borderId="0" applyAlignment="1" pivotButton="0" quotePrefix="0" xfId="21">
      <alignment horizontal="general" vertical="bottom"/>
    </xf>
    <xf numFmtId="0" fontId="10" fillId="3" borderId="0" applyAlignment="1" pivotButton="0" quotePrefix="0" xfId="24">
      <alignment horizontal="general" vertical="bottom"/>
    </xf>
    <xf numFmtId="0" fontId="19" fillId="4" borderId="14" applyAlignment="1" pivotButton="0" quotePrefix="0" xfId="24">
      <alignment horizontal="center" vertical="bottom"/>
    </xf>
    <xf numFmtId="0" fontId="19" fillId="4" borderId="5" applyAlignment="1" pivotButton="0" quotePrefix="0" xfId="24">
      <alignment horizontal="center" vertical="bottom"/>
    </xf>
    <xf numFmtId="0" fontId="19" fillId="4" borderId="5" applyAlignment="1" pivotButton="0" quotePrefix="0" xfId="24">
      <alignment horizontal="center" vertical="bottom" wrapText="1"/>
    </xf>
    <xf numFmtId="0" fontId="19" fillId="4" borderId="15" applyAlignment="1" pivotButton="0" quotePrefix="0" xfId="24">
      <alignment horizontal="center" vertical="bottom"/>
    </xf>
    <xf numFmtId="0" fontId="19" fillId="4" borderId="18" applyAlignment="1" pivotButton="0" quotePrefix="0" xfId="24">
      <alignment horizontal="center" vertical="bottom" wrapText="1"/>
    </xf>
    <xf numFmtId="0" fontId="10" fillId="3" borderId="16" applyAlignment="1" pivotButton="0" quotePrefix="0" xfId="24">
      <alignment horizontal="center" vertical="bottom"/>
    </xf>
    <xf numFmtId="49" fontId="24" fillId="3" borderId="8" applyAlignment="1" pivotButton="0" quotePrefix="0" xfId="20">
      <alignment horizontal="general" vertical="bottom"/>
    </xf>
    <xf numFmtId="0" fontId="10" fillId="3" borderId="8" applyAlignment="1" pivotButton="0" quotePrefix="0" xfId="24">
      <alignment horizontal="center" vertical="bottom"/>
    </xf>
    <xf numFmtId="0" fontId="10" fillId="3" borderId="19" applyAlignment="1" pivotButton="0" quotePrefix="0" xfId="24">
      <alignment horizontal="center" vertical="bottom"/>
    </xf>
    <xf numFmtId="49" fontId="26" fillId="3" borderId="8" applyAlignment="1" pivotButton="0" quotePrefix="0" xfId="20">
      <alignment horizontal="general" vertical="bottom"/>
    </xf>
    <xf numFmtId="0" fontId="27" fillId="4" borderId="17" applyAlignment="1" pivotButton="0" quotePrefix="0" xfId="24">
      <alignment horizontal="center" vertical="bottom"/>
    </xf>
    <xf numFmtId="0" fontId="28" fillId="4" borderId="0" applyAlignment="1" pivotButton="0" quotePrefix="0" xfId="0">
      <alignment horizontal="general" vertical="center"/>
    </xf>
    <xf numFmtId="0" fontId="27" fillId="4" borderId="11" applyAlignment="1" pivotButton="0" quotePrefix="0" xfId="24">
      <alignment horizontal="center" vertical="bottom"/>
    </xf>
    <xf numFmtId="0" fontId="10" fillId="3" borderId="0" applyAlignment="1" pivotButton="0" quotePrefix="0" xfId="24">
      <alignment horizontal="center" vertical="bottom"/>
    </xf>
    <xf numFmtId="10" fontId="10" fillId="3" borderId="0" applyAlignment="1" pivotButton="0" quotePrefix="0" xfId="24">
      <alignment horizontal="center" vertical="bottom"/>
    </xf>
    <xf numFmtId="9" fontId="10" fillId="3" borderId="0" applyAlignment="1" pivotButton="0" quotePrefix="0" xfId="24">
      <alignment horizontal="center" vertical="bottom"/>
    </xf>
    <xf numFmtId="0" fontId="11" fillId="3" borderId="0" applyAlignment="1" pivotButton="0" quotePrefix="0" xfId="24">
      <alignment horizontal="left" vertical="bottom"/>
    </xf>
    <xf numFmtId="2" fontId="11" fillId="3" borderId="0" applyAlignment="1" pivotButton="0" quotePrefix="0" xfId="24">
      <alignment horizontal="right" vertical="bottom" wrapText="1"/>
    </xf>
    <xf numFmtId="0" fontId="29" fillId="3" borderId="0" applyAlignment="1" pivotButton="0" quotePrefix="0" xfId="24">
      <alignment horizontal="center" vertical="bottom" wrapText="1"/>
    </xf>
    <xf numFmtId="0" fontId="36" fillId="0" borderId="0" applyAlignment="1" pivotButton="0" quotePrefix="0" xfId="24">
      <alignment horizontal="general" vertical="bottom"/>
    </xf>
    <xf numFmtId="0" fontId="37" fillId="0" borderId="0" applyAlignment="1" pivotButton="0" quotePrefix="0" xfId="24">
      <alignment horizontal="left" vertical="bottom"/>
    </xf>
    <xf numFmtId="0" fontId="36" fillId="0" borderId="0" applyAlignment="1" pivotButton="0" quotePrefix="0" xfId="24">
      <alignment horizontal="right" vertical="bottom"/>
    </xf>
    <xf numFmtId="0" fontId="36" fillId="0" borderId="20" applyAlignment="1" pivotButton="0" quotePrefix="0" xfId="24">
      <alignment horizontal="general" vertical="bottom"/>
    </xf>
    <xf numFmtId="0" fontId="37" fillId="0" borderId="20" applyAlignment="1" pivotButton="0" quotePrefix="0" xfId="24">
      <alignment horizontal="left" vertical="bottom"/>
    </xf>
    <xf numFmtId="0" fontId="37" fillId="3" borderId="21" applyAlignment="1" pivotButton="0" quotePrefix="0" xfId="22">
      <alignment horizontal="left" vertical="bottom" wrapText="1"/>
    </xf>
    <xf numFmtId="49" fontId="38" fillId="3" borderId="22" applyAlignment="1" pivotButton="0" quotePrefix="0" xfId="22">
      <alignment horizontal="left" vertical="bottom" wrapText="1"/>
    </xf>
    <xf numFmtId="0" fontId="37" fillId="3" borderId="23" applyAlignment="1" pivotButton="0" quotePrefix="0" xfId="22">
      <alignment horizontal="left" vertical="bottom" wrapText="1"/>
    </xf>
    <xf numFmtId="49" fontId="36" fillId="3" borderId="24" applyAlignment="1" pivotButton="0" quotePrefix="0" xfId="22">
      <alignment horizontal="center" vertical="bottom" wrapText="1"/>
    </xf>
    <xf numFmtId="49" fontId="36" fillId="0" borderId="0" applyAlignment="1" pivotButton="0" quotePrefix="0" xfId="24">
      <alignment horizontal="general" vertical="bottom"/>
    </xf>
    <xf numFmtId="0" fontId="37" fillId="3" borderId="25" applyAlignment="1" pivotButton="0" quotePrefix="0" xfId="22">
      <alignment horizontal="left" vertical="bottom" wrapText="1"/>
    </xf>
    <xf numFmtId="0" fontId="38" fillId="3" borderId="26" applyAlignment="1" pivotButton="0" quotePrefix="0" xfId="22">
      <alignment horizontal="left" vertical="bottom" wrapText="1"/>
    </xf>
    <xf numFmtId="0" fontId="37" fillId="3" borderId="2" applyAlignment="1" pivotButton="0" quotePrefix="0" xfId="22">
      <alignment horizontal="left" vertical="bottom" wrapText="1"/>
    </xf>
    <xf numFmtId="0" fontId="38" fillId="3" borderId="27" applyAlignment="1" pivotButton="0" quotePrefix="0" xfId="22">
      <alignment horizontal="left" vertical="bottom" wrapText="1"/>
    </xf>
    <xf numFmtId="0" fontId="38" fillId="3" borderId="27" applyAlignment="1" pivotButton="0" quotePrefix="0" xfId="22">
      <alignment horizontal="general" vertical="bottom" wrapText="1"/>
    </xf>
    <xf numFmtId="0" fontId="38" fillId="3" borderId="28" applyAlignment="1" pivotButton="0" quotePrefix="0" xfId="22">
      <alignment horizontal="general" vertical="bottom" wrapText="1"/>
    </xf>
    <xf numFmtId="0" fontId="38" fillId="3" borderId="1" applyAlignment="1" pivotButton="0" quotePrefix="0" xfId="22">
      <alignment horizontal="center" vertical="bottom" wrapText="1"/>
    </xf>
    <xf numFmtId="0" fontId="38" fillId="3" borderId="13" applyAlignment="1" pivotButton="0" quotePrefix="0" xfId="22">
      <alignment horizontal="left" vertical="bottom" wrapText="1"/>
    </xf>
    <xf numFmtId="0" fontId="36" fillId="3" borderId="29" applyAlignment="1" pivotButton="0" quotePrefix="0" xfId="22">
      <alignment horizontal="center" vertical="bottom" wrapText="1"/>
    </xf>
    <xf numFmtId="0" fontId="38" fillId="3" borderId="29" applyAlignment="1" pivotButton="0" quotePrefix="0" xfId="22">
      <alignment horizontal="left" vertical="bottom" wrapText="1"/>
    </xf>
    <xf numFmtId="0" fontId="37" fillId="3" borderId="25" applyAlignment="1" pivotButton="0" quotePrefix="0" xfId="24">
      <alignment horizontal="center" vertical="center"/>
    </xf>
    <xf numFmtId="0" fontId="37" fillId="3" borderId="2" applyAlignment="1" pivotButton="0" quotePrefix="0" xfId="24">
      <alignment horizontal="center" vertical="center" wrapText="1"/>
    </xf>
    <xf numFmtId="0" fontId="37" fillId="3" borderId="13" applyAlignment="1" pivotButton="0" quotePrefix="0" xfId="24">
      <alignment horizontal="center" vertical="center" wrapText="1"/>
    </xf>
    <xf numFmtId="0" fontId="37" fillId="3" borderId="29" applyAlignment="1" pivotButton="0" quotePrefix="0" xfId="24">
      <alignment horizontal="center" vertical="center" wrapText="1"/>
    </xf>
    <xf numFmtId="0" fontId="36" fillId="3" borderId="30" applyAlignment="1" pivotButton="0" quotePrefix="0" xfId="24">
      <alignment horizontal="center" vertical="center"/>
    </xf>
    <xf numFmtId="0" fontId="36" fillId="3" borderId="31" applyAlignment="1" pivotButton="0" quotePrefix="0" xfId="24">
      <alignment horizontal="center" vertical="center"/>
    </xf>
    <xf numFmtId="0" fontId="36" fillId="3" borderId="32" applyAlignment="1" pivotButton="0" quotePrefix="0" xfId="24">
      <alignment horizontal="center" vertical="center"/>
    </xf>
    <xf numFmtId="0" fontId="36" fillId="3" borderId="33" applyAlignment="1" pivotButton="0" quotePrefix="0" xfId="24">
      <alignment horizontal="center" vertical="center"/>
    </xf>
    <xf numFmtId="0" fontId="36" fillId="0" borderId="34" applyAlignment="1" pivotButton="0" quotePrefix="0" xfId="24">
      <alignment horizontal="general" vertical="bottom"/>
    </xf>
    <xf numFmtId="164" fontId="19" fillId="4" borderId="35" applyAlignment="1" pivotButton="0" quotePrefix="0" xfId="24">
      <alignment horizontal="center" vertical="center"/>
    </xf>
    <xf numFmtId="0" fontId="39" fillId="4" borderId="36" applyAlignment="1" pivotButton="0" quotePrefix="0" xfId="24">
      <alignment horizontal="left" vertical="bottom"/>
    </xf>
    <xf numFmtId="0" fontId="40" fillId="4" borderId="36" applyAlignment="1" pivotButton="0" quotePrefix="0" xfId="24">
      <alignment horizontal="general" vertical="bottom"/>
    </xf>
    <xf numFmtId="0" fontId="40" fillId="4" borderId="36" applyAlignment="1" pivotButton="0" quotePrefix="0" xfId="24">
      <alignment horizontal="right" vertical="bottom"/>
    </xf>
    <xf numFmtId="0" fontId="39" fillId="4" borderId="36" applyAlignment="1" pivotButton="0" quotePrefix="0" xfId="24">
      <alignment horizontal="general" vertical="top" textRotation="180"/>
    </xf>
    <xf numFmtId="0" fontId="39" fillId="4" borderId="37" applyAlignment="1" pivotButton="0" quotePrefix="0" xfId="24">
      <alignment horizontal="general" vertical="top" textRotation="180"/>
    </xf>
    <xf numFmtId="0" fontId="37" fillId="0" borderId="0" applyAlignment="1" pivotButton="0" quotePrefix="0" xfId="24">
      <alignment horizontal="general" vertical="bottom"/>
    </xf>
    <xf numFmtId="49" fontId="36" fillId="0" borderId="0" applyAlignment="1" pivotButton="0" quotePrefix="0" xfId="24">
      <alignment horizontal="general" vertical="bottom"/>
    </xf>
    <xf numFmtId="0" fontId="36" fillId="0" borderId="0" applyAlignment="1" pivotButton="0" quotePrefix="0" xfId="24">
      <alignment horizontal="general" vertical="bottom"/>
    </xf>
    <xf numFmtId="0" fontId="39" fillId="4" borderId="38" applyAlignment="1" pivotButton="0" quotePrefix="0" xfId="24">
      <alignment horizontal="general" vertical="center"/>
    </xf>
    <xf numFmtId="0" fontId="37" fillId="3" borderId="39" applyAlignment="1" pivotButton="0" quotePrefix="0" xfId="24">
      <alignment horizontal="left" vertical="top"/>
    </xf>
    <xf numFmtId="0" fontId="36" fillId="3" borderId="27" applyAlignment="1" pivotButton="0" quotePrefix="0" xfId="24">
      <alignment horizontal="center" vertical="top"/>
    </xf>
    <xf numFmtId="0" fontId="36" fillId="3" borderId="40" applyAlignment="1" pivotButton="0" quotePrefix="0" xfId="24">
      <alignment horizontal="right" vertical="top"/>
    </xf>
    <xf numFmtId="0" fontId="38" fillId="6" borderId="0" applyAlignment="1" pivotButton="0" quotePrefix="0" xfId="24">
      <alignment horizontal="right" vertical="bottom"/>
    </xf>
    <xf numFmtId="0" fontId="8" fillId="0" borderId="26" applyAlignment="1" pivotButton="0" quotePrefix="0" xfId="24">
      <alignment horizontal="center" vertical="bottom"/>
    </xf>
    <xf numFmtId="0" fontId="8" fillId="0" borderId="41" applyAlignment="1" pivotButton="0" quotePrefix="0" xfId="24">
      <alignment horizontal="center" vertical="bottom"/>
    </xf>
    <xf numFmtId="0" fontId="39" fillId="4" borderId="42" applyAlignment="1" pivotButton="0" quotePrefix="0" xfId="24">
      <alignment horizontal="general" vertical="center"/>
    </xf>
    <xf numFmtId="0" fontId="37" fillId="3" borderId="1" applyAlignment="1" pivotButton="0" quotePrefix="0" xfId="24">
      <alignment horizontal="left" vertical="top"/>
    </xf>
    <xf numFmtId="0" fontId="36" fillId="3" borderId="13" applyAlignment="1" pivotButton="0" quotePrefix="0" xfId="24">
      <alignment horizontal="center" vertical="top"/>
    </xf>
    <xf numFmtId="0" fontId="36" fillId="3" borderId="3" applyAlignment="1" pivotButton="0" quotePrefix="0" xfId="24">
      <alignment horizontal="right" vertical="top"/>
    </xf>
    <xf numFmtId="0" fontId="8" fillId="0" borderId="2" applyAlignment="1" pivotButton="0" quotePrefix="0" xfId="24">
      <alignment horizontal="center" vertical="bottom"/>
    </xf>
    <xf numFmtId="0" fontId="8" fillId="0" borderId="43" applyAlignment="1" pivotButton="0" quotePrefix="0" xfId="24">
      <alignment horizontal="center" vertical="bottom"/>
    </xf>
    <xf numFmtId="0" fontId="36" fillId="0" borderId="0" applyAlignment="1" pivotButton="0" quotePrefix="0" xfId="24">
      <alignment horizontal="general" vertical="top"/>
    </xf>
    <xf numFmtId="0" fontId="36" fillId="6" borderId="0" applyAlignment="1" pivotButton="0" quotePrefix="0" xfId="24">
      <alignment horizontal="right" vertical="bottom"/>
    </xf>
    <xf numFmtId="0" fontId="37" fillId="0" borderId="0" applyAlignment="1" pivotButton="0" quotePrefix="0" xfId="24">
      <alignment horizontal="center" vertical="bottom"/>
    </xf>
    <xf numFmtId="0" fontId="36" fillId="0" borderId="0" applyAlignment="1" pivotButton="0" quotePrefix="0" xfId="24">
      <alignment horizontal="right" vertical="bottom"/>
    </xf>
    <xf numFmtId="0" fontId="37" fillId="3" borderId="44" applyAlignment="1" pivotButton="0" quotePrefix="0" xfId="24">
      <alignment horizontal="left" vertical="top"/>
    </xf>
    <xf numFmtId="0" fontId="36" fillId="3" borderId="45" applyAlignment="1" pivotButton="0" quotePrefix="0" xfId="24">
      <alignment horizontal="center" vertical="top"/>
    </xf>
    <xf numFmtId="0" fontId="36" fillId="3" borderId="46" applyAlignment="1" pivotButton="0" quotePrefix="0" xfId="24">
      <alignment horizontal="right" vertical="top"/>
    </xf>
    <xf numFmtId="0" fontId="36" fillId="6" borderId="47" applyAlignment="1" pivotButton="0" quotePrefix="0" xfId="24">
      <alignment horizontal="right" vertical="bottom"/>
    </xf>
    <xf numFmtId="0" fontId="8" fillId="0" borderId="48" applyAlignment="1" pivotButton="0" quotePrefix="0" xfId="24">
      <alignment horizontal="center" vertical="bottom"/>
    </xf>
    <xf numFmtId="0" fontId="8" fillId="0" borderId="49" applyAlignment="1" pivotButton="0" quotePrefix="0" xfId="24">
      <alignment horizontal="center" vertical="bottom"/>
    </xf>
    <xf numFmtId="0" fontId="39" fillId="4" borderId="38" applyAlignment="1" pivotButton="0" quotePrefix="0" xfId="24">
      <alignment horizontal="general" vertical="top"/>
    </xf>
    <xf numFmtId="0" fontId="37" fillId="3" borderId="39" applyAlignment="1" pivotButton="0" quotePrefix="0" xfId="24">
      <alignment horizontal="general" vertical="bottom"/>
    </xf>
    <xf numFmtId="0" fontId="37" fillId="3" borderId="27" applyAlignment="1" pivotButton="0" quotePrefix="0" xfId="24">
      <alignment horizontal="general" vertical="bottom"/>
    </xf>
    <xf numFmtId="0" fontId="36" fillId="3" borderId="40" applyAlignment="1" pivotButton="0" quotePrefix="0" xfId="24">
      <alignment horizontal="right" vertical="bottom"/>
    </xf>
    <xf numFmtId="0" fontId="36" fillId="6" borderId="26" applyAlignment="1" pivotButton="0" quotePrefix="0" xfId="24">
      <alignment horizontal="left" vertical="bottom"/>
    </xf>
    <xf numFmtId="0" fontId="39" fillId="4" borderId="42" applyAlignment="1" pivotButton="0" quotePrefix="0" xfId="24">
      <alignment horizontal="general" vertical="top"/>
    </xf>
    <xf numFmtId="0" fontId="37" fillId="3" borderId="1" applyAlignment="1" pivotButton="0" quotePrefix="0" xfId="24">
      <alignment horizontal="general" vertical="bottom"/>
    </xf>
    <xf numFmtId="0" fontId="36" fillId="3" borderId="13" applyAlignment="1" pivotButton="0" quotePrefix="0" xfId="24">
      <alignment horizontal="general" vertical="bottom"/>
    </xf>
    <xf numFmtId="0" fontId="36" fillId="3" borderId="3" applyAlignment="1" pivotButton="0" quotePrefix="0" xfId="24">
      <alignment horizontal="right" vertical="bottom"/>
    </xf>
    <xf numFmtId="0" fontId="36" fillId="6" borderId="2" applyAlignment="1" pivotButton="0" quotePrefix="0" xfId="24">
      <alignment horizontal="left" vertical="bottom"/>
    </xf>
    <xf numFmtId="0" fontId="5" fillId="3" borderId="13" applyAlignment="1" pivotButton="0" quotePrefix="0" xfId="24">
      <alignment horizontal="general" vertical="bottom"/>
    </xf>
    <xf numFmtId="0" fontId="36" fillId="6" borderId="2" applyAlignment="1" pivotButton="0" quotePrefix="0" xfId="24">
      <alignment horizontal="general" vertical="bottom"/>
    </xf>
    <xf numFmtId="0" fontId="37" fillId="3" borderId="50" applyAlignment="1" pivotButton="0" quotePrefix="0" xfId="24">
      <alignment horizontal="general" vertical="bottom"/>
    </xf>
    <xf numFmtId="0" fontId="36" fillId="3" borderId="51" applyAlignment="1" pivotButton="0" quotePrefix="0" xfId="24">
      <alignment horizontal="general" vertical="bottom"/>
    </xf>
    <xf numFmtId="0" fontId="36" fillId="3" borderId="52" applyAlignment="1" pivotButton="0" quotePrefix="0" xfId="24">
      <alignment horizontal="right" vertical="bottom"/>
    </xf>
    <xf numFmtId="0" fontId="36" fillId="6" borderId="53" applyAlignment="1" pivotButton="0" quotePrefix="0" xfId="24">
      <alignment horizontal="left" vertical="bottom"/>
    </xf>
    <xf numFmtId="0" fontId="8" fillId="0" borderId="53" applyAlignment="1" pivotButton="0" quotePrefix="0" xfId="24">
      <alignment horizontal="center" vertical="bottom"/>
    </xf>
    <xf numFmtId="0" fontId="8" fillId="0" borderId="54" applyAlignment="1" pivotButton="0" quotePrefix="0" xfId="24">
      <alignment horizontal="center" vertical="bottom"/>
    </xf>
    <xf numFmtId="0" fontId="36" fillId="0" borderId="55" applyAlignment="1" pivotButton="0" quotePrefix="0" xfId="24">
      <alignment horizontal="left" vertical="bottom"/>
    </xf>
    <xf numFmtId="0" fontId="36" fillId="0" borderId="55" applyAlignment="1" pivotButton="0" quotePrefix="0" xfId="24">
      <alignment horizontal="center" vertical="bottom"/>
    </xf>
    <xf numFmtId="0" fontId="36" fillId="0" borderId="56" applyAlignment="1" pivotButton="0" quotePrefix="0" xfId="24">
      <alignment horizontal="center" vertical="bottom"/>
    </xf>
    <xf numFmtId="0" fontId="36" fillId="0" borderId="2" applyAlignment="1" pivotButton="0" quotePrefix="0" xfId="24">
      <alignment horizontal="left" vertical="bottom"/>
    </xf>
    <xf numFmtId="0" fontId="41" fillId="0" borderId="2" applyAlignment="1" pivotButton="0" quotePrefix="0" xfId="24">
      <alignment horizontal="left" vertical="bottom"/>
    </xf>
    <xf numFmtId="0" fontId="36" fillId="0" borderId="2" applyAlignment="1" pivotButton="0" quotePrefix="0" xfId="24">
      <alignment horizontal="center" vertical="bottom"/>
    </xf>
    <xf numFmtId="0" fontId="36" fillId="0" borderId="43" applyAlignment="1" pivotButton="0" quotePrefix="0" xfId="24">
      <alignment horizontal="center" vertical="bottom"/>
    </xf>
    <xf numFmtId="0" fontId="36" fillId="0" borderId="2" applyAlignment="1" pivotButton="0" quotePrefix="0" xfId="24">
      <alignment horizontal="left" vertical="top"/>
    </xf>
    <xf numFmtId="0" fontId="36" fillId="0" borderId="2" applyAlignment="1" pivotButton="0" quotePrefix="0" xfId="24">
      <alignment horizontal="general" vertical="bottom"/>
    </xf>
    <xf numFmtId="167" fontId="36" fillId="0" borderId="2" applyAlignment="1" pivotButton="0" quotePrefix="0" xfId="24">
      <alignment horizontal="general" vertical="top" textRotation="255"/>
    </xf>
    <xf numFmtId="167" fontId="36" fillId="0" borderId="43" applyAlignment="1" pivotButton="0" quotePrefix="0" xfId="24">
      <alignment horizontal="general" vertical="top" textRotation="255"/>
    </xf>
    <xf numFmtId="0" fontId="39" fillId="4" borderId="57" applyAlignment="1" pivotButton="0" quotePrefix="0" xfId="24">
      <alignment horizontal="general" vertical="top"/>
    </xf>
    <xf numFmtId="0" fontId="36" fillId="0" borderId="48" applyAlignment="1" pivotButton="0" quotePrefix="0" xfId="24">
      <alignment horizontal="left" vertical="top"/>
    </xf>
    <xf numFmtId="0" fontId="36" fillId="0" borderId="48" applyAlignment="1" pivotButton="0" quotePrefix="0" xfId="24">
      <alignment horizontal="general" vertical="bottom"/>
    </xf>
    <xf numFmtId="0" fontId="36" fillId="0" borderId="48" applyAlignment="1" pivotButton="0" quotePrefix="0" xfId="24">
      <alignment horizontal="general" vertical="bottom" textRotation="255"/>
    </xf>
    <xf numFmtId="0" fontId="36" fillId="0" borderId="49" applyAlignment="1" pivotButton="0" quotePrefix="0" xfId="24">
      <alignment horizontal="general" vertical="bottom" textRotation="255"/>
    </xf>
    <xf numFmtId="0" fontId="39" fillId="0" borderId="0" applyAlignment="1" pivotButton="0" quotePrefix="0" xfId="24">
      <alignment horizontal="general" vertical="top"/>
    </xf>
    <xf numFmtId="0" fontId="37" fillId="0" borderId="0" applyAlignment="1" pivotButton="0" quotePrefix="0" xfId="24">
      <alignment horizontal="left" vertical="bottom"/>
    </xf>
    <xf numFmtId="0" fontId="36" fillId="0" borderId="0" applyAlignment="1" pivotButton="0" quotePrefix="0" xfId="24">
      <alignment horizontal="center" vertical="bottom"/>
    </xf>
    <xf numFmtId="0" fontId="37" fillId="3" borderId="58" applyAlignment="1" pivotButton="0" quotePrefix="0" xfId="22">
      <alignment horizontal="left" vertical="bottom" wrapText="1"/>
    </xf>
    <xf numFmtId="0" fontId="36" fillId="0" borderId="22" applyAlignment="1" pivotButton="0" quotePrefix="0" xfId="24">
      <alignment horizontal="general" vertical="bottom"/>
    </xf>
    <xf numFmtId="0" fontId="37" fillId="3" borderId="22" applyAlignment="1" pivotButton="0" quotePrefix="0" xfId="22">
      <alignment horizontal="left" vertical="bottom" wrapText="1"/>
    </xf>
    <xf numFmtId="49" fontId="38" fillId="3" borderId="24" applyAlignment="1" pivotButton="0" quotePrefix="0" xfId="22">
      <alignment horizontal="left" vertical="bottom" wrapText="1"/>
    </xf>
    <xf numFmtId="0" fontId="37" fillId="3" borderId="59" applyAlignment="1" pivotButton="0" quotePrefix="0" xfId="22">
      <alignment horizontal="left" vertical="bottom" wrapText="1"/>
    </xf>
    <xf numFmtId="0" fontId="37" fillId="3" borderId="26" applyAlignment="1" pivotButton="0" quotePrefix="0" xfId="22">
      <alignment horizontal="left" vertical="bottom" wrapText="1"/>
    </xf>
    <xf numFmtId="0" fontId="40" fillId="4" borderId="60" applyAlignment="1" pivotButton="0" quotePrefix="0" xfId="24">
      <alignment horizontal="general" vertical="bottom"/>
    </xf>
    <xf numFmtId="0" fontId="39" fillId="4" borderId="61" applyAlignment="1" pivotButton="0" quotePrefix="0" xfId="24">
      <alignment horizontal="left" vertical="bottom"/>
    </xf>
    <xf numFmtId="0" fontId="40" fillId="4" borderId="61" applyAlignment="1" pivotButton="0" quotePrefix="0" xfId="24">
      <alignment horizontal="general" vertical="bottom"/>
    </xf>
    <xf numFmtId="0" fontId="40" fillId="4" borderId="61" applyAlignment="1" pivotButton="0" quotePrefix="0" xfId="24">
      <alignment horizontal="right" vertical="bottom"/>
    </xf>
    <xf numFmtId="0" fontId="39" fillId="4" borderId="61" applyAlignment="1" pivotButton="0" quotePrefix="0" xfId="24">
      <alignment horizontal="general" vertical="top" textRotation="180"/>
    </xf>
    <xf numFmtId="0" fontId="39" fillId="4" borderId="62" applyAlignment="1" pivotButton="0" quotePrefix="0" xfId="24">
      <alignment horizontal="general" vertical="top" textRotation="180"/>
    </xf>
    <xf numFmtId="0" fontId="38" fillId="6" borderId="51" applyAlignment="1" pivotButton="0" quotePrefix="0" xfId="24">
      <alignment horizontal="right" vertical="bottom"/>
    </xf>
    <xf numFmtId="0" fontId="42" fillId="0" borderId="2" applyAlignment="1" pivotButton="0" quotePrefix="0" xfId="24">
      <alignment horizontal="center" vertical="bottom"/>
    </xf>
    <xf numFmtId="0" fontId="42" fillId="0" borderId="43" applyAlignment="1" pivotButton="0" quotePrefix="0" xfId="24">
      <alignment horizontal="center" vertical="bottom"/>
    </xf>
    <xf numFmtId="0" fontId="43" fillId="0" borderId="0" applyAlignment="1" pivotButton="0" quotePrefix="0" xfId="24">
      <alignment horizontal="center" vertical="bottom"/>
    </xf>
    <xf numFmtId="0" fontId="42" fillId="0" borderId="48" applyAlignment="1" pivotButton="0" quotePrefix="0" xfId="24">
      <alignment horizontal="center" vertical="bottom"/>
    </xf>
    <xf numFmtId="0" fontId="42" fillId="0" borderId="49" applyAlignment="1" pivotButton="0" quotePrefix="0" xfId="24">
      <alignment horizontal="center" vertical="bottom"/>
    </xf>
    <xf numFmtId="0" fontId="42" fillId="0" borderId="26" applyAlignment="1" pivotButton="0" quotePrefix="0" xfId="24">
      <alignment horizontal="center" vertical="bottom"/>
    </xf>
    <xf numFmtId="0" fontId="42" fillId="0" borderId="41" applyAlignment="1" pivotButton="0" quotePrefix="0" xfId="24">
      <alignment horizontal="center" vertical="bottom"/>
    </xf>
    <xf numFmtId="0" fontId="0" fillId="3" borderId="13" applyAlignment="1" pivotButton="0" quotePrefix="0" xfId="24">
      <alignment horizontal="general" vertical="bottom"/>
    </xf>
    <xf numFmtId="0" fontId="42" fillId="0" borderId="53" applyAlignment="1" pivotButton="0" quotePrefix="0" xfId="24">
      <alignment horizontal="center" vertical="bottom"/>
    </xf>
    <xf numFmtId="0" fontId="42" fillId="0" borderId="54" applyAlignment="1" pivotButton="0" quotePrefix="0" xfId="24">
      <alignment horizontal="center" vertical="bottom"/>
    </xf>
    <xf numFmtId="0" fontId="44" fillId="0" borderId="55" applyAlignment="1" pivotButton="0" quotePrefix="0" xfId="24">
      <alignment horizontal="center" vertical="bottom"/>
    </xf>
    <xf numFmtId="0" fontId="44" fillId="0" borderId="56" applyAlignment="1" pivotButton="0" quotePrefix="0" xfId="24">
      <alignment horizontal="center" vertical="bottom"/>
    </xf>
    <xf numFmtId="0" fontId="44" fillId="0" borderId="2" applyAlignment="1" pivotButton="0" quotePrefix="0" xfId="24">
      <alignment horizontal="center" vertical="bottom"/>
    </xf>
    <xf numFmtId="0" fontId="44" fillId="0" borderId="43" applyAlignment="1" pivotButton="0" quotePrefix="0" xfId="24">
      <alignment horizontal="center" vertical="bottom"/>
    </xf>
    <xf numFmtId="0" fontId="36" fillId="0" borderId="0" applyAlignment="1" pivotButton="0" quotePrefix="0" xfId="25">
      <alignment horizontal="general" vertical="bottom"/>
    </xf>
    <xf numFmtId="0" fontId="37" fillId="0" borderId="0" applyAlignment="1" pivotButton="0" quotePrefix="0" xfId="25">
      <alignment horizontal="left" vertical="bottom"/>
    </xf>
    <xf numFmtId="0" fontId="36" fillId="0" borderId="0" applyAlignment="1" pivotButton="0" quotePrefix="0" xfId="25">
      <alignment horizontal="right" vertical="bottom"/>
    </xf>
    <xf numFmtId="0" fontId="36" fillId="0" borderId="0" applyAlignment="1" pivotButton="0" quotePrefix="0" xfId="25">
      <alignment horizontal="general" vertical="bottom"/>
    </xf>
    <xf numFmtId="0" fontId="37" fillId="0" borderId="0" applyAlignment="1" pivotButton="0" quotePrefix="0" xfId="25">
      <alignment horizontal="left" vertical="bottom"/>
    </xf>
    <xf numFmtId="0" fontId="37" fillId="3" borderId="25" applyAlignment="1" pivotButton="0" quotePrefix="0" xfId="23">
      <alignment horizontal="left" vertical="bottom" wrapText="1"/>
    </xf>
    <xf numFmtId="0" fontId="38" fillId="3" borderId="26" applyAlignment="1" pivotButton="0" quotePrefix="0" xfId="23">
      <alignment horizontal="left" vertical="bottom" wrapText="1"/>
    </xf>
    <xf numFmtId="0" fontId="37" fillId="3" borderId="2" applyAlignment="1" pivotButton="0" quotePrefix="0" xfId="23">
      <alignment horizontal="left" vertical="bottom" wrapText="1"/>
    </xf>
    <xf numFmtId="0" fontId="38" fillId="3" borderId="27" applyAlignment="1" pivotButton="0" quotePrefix="0" xfId="23">
      <alignment horizontal="left" vertical="bottom" wrapText="1"/>
    </xf>
    <xf numFmtId="0" fontId="38" fillId="3" borderId="27" applyAlignment="1" pivotButton="0" quotePrefix="0" xfId="23">
      <alignment horizontal="general" vertical="bottom" wrapText="1"/>
    </xf>
    <xf numFmtId="0" fontId="38" fillId="3" borderId="28" applyAlignment="1" pivotButton="0" quotePrefix="0" xfId="23">
      <alignment horizontal="general" vertical="bottom" wrapText="1"/>
    </xf>
    <xf numFmtId="0" fontId="38" fillId="3" borderId="1" applyAlignment="1" pivotButton="0" quotePrefix="0" xfId="23">
      <alignment horizontal="center" vertical="bottom" wrapText="1"/>
    </xf>
    <xf numFmtId="0" fontId="38" fillId="3" borderId="13" applyAlignment="1" pivotButton="0" quotePrefix="0" xfId="23">
      <alignment horizontal="left" vertical="bottom" wrapText="1"/>
    </xf>
    <xf numFmtId="0" fontId="36" fillId="3" borderId="29" applyAlignment="1" pivotButton="0" quotePrefix="0" xfId="23">
      <alignment horizontal="center" vertical="bottom" wrapText="1"/>
    </xf>
    <xf numFmtId="49" fontId="36" fillId="0" borderId="0" applyAlignment="1" pivotButton="0" quotePrefix="0" xfId="25">
      <alignment horizontal="general" vertical="bottom"/>
    </xf>
    <xf numFmtId="0" fontId="38" fillId="3" borderId="29" applyAlignment="1" pivotButton="0" quotePrefix="0" xfId="23">
      <alignment horizontal="left" vertical="bottom" wrapText="1"/>
    </xf>
    <xf numFmtId="0" fontId="37" fillId="3" borderId="25" applyAlignment="1" pivotButton="0" quotePrefix="0" xfId="25">
      <alignment horizontal="center" vertical="center"/>
    </xf>
    <xf numFmtId="0" fontId="37" fillId="3" borderId="2" applyAlignment="1" pivotButton="0" quotePrefix="0" xfId="25">
      <alignment horizontal="center" vertical="center" wrapText="1"/>
    </xf>
    <xf numFmtId="0" fontId="37" fillId="3" borderId="13" applyAlignment="1" pivotButton="0" quotePrefix="0" xfId="25">
      <alignment horizontal="center" vertical="center" wrapText="1"/>
    </xf>
    <xf numFmtId="0" fontId="37" fillId="3" borderId="29" applyAlignment="1" pivotButton="0" quotePrefix="0" xfId="25">
      <alignment horizontal="center" vertical="center" wrapText="1"/>
    </xf>
    <xf numFmtId="0" fontId="36" fillId="3" borderId="30" applyAlignment="1" pivotButton="0" quotePrefix="0" xfId="25">
      <alignment horizontal="center" vertical="center"/>
    </xf>
    <xf numFmtId="0" fontId="36" fillId="3" borderId="31" applyAlignment="1" pivotButton="0" quotePrefix="0" xfId="25">
      <alignment horizontal="center" vertical="center"/>
    </xf>
    <xf numFmtId="0" fontId="36" fillId="3" borderId="32" applyAlignment="1" pivotButton="0" quotePrefix="0" xfId="25">
      <alignment horizontal="center" vertical="center"/>
    </xf>
    <xf numFmtId="0" fontId="36" fillId="3" borderId="33" applyAlignment="1" pivotButton="0" quotePrefix="0" xfId="25">
      <alignment horizontal="center" vertical="center"/>
    </xf>
    <xf numFmtId="0" fontId="36" fillId="0" borderId="34" applyAlignment="1" pivotButton="0" quotePrefix="0" xfId="25">
      <alignment horizontal="general" vertical="bottom"/>
    </xf>
    <xf numFmtId="0" fontId="40" fillId="4" borderId="60" applyAlignment="1" pivotButton="0" quotePrefix="0" xfId="25">
      <alignment horizontal="general" vertical="bottom"/>
    </xf>
    <xf numFmtId="0" fontId="39" fillId="4" borderId="63" applyAlignment="1" pivotButton="0" quotePrefix="0" xfId="25">
      <alignment horizontal="left" vertical="bottom"/>
    </xf>
    <xf numFmtId="0" fontId="40" fillId="4" borderId="63" applyAlignment="1" pivotButton="0" quotePrefix="0" xfId="25">
      <alignment horizontal="general" vertical="bottom"/>
    </xf>
    <xf numFmtId="0" fontId="40" fillId="4" borderId="63" applyAlignment="1" pivotButton="0" quotePrefix="0" xfId="25">
      <alignment horizontal="right" vertical="bottom"/>
    </xf>
    <xf numFmtId="0" fontId="39" fillId="4" borderId="63" applyAlignment="1" pivotButton="0" quotePrefix="0" xfId="25">
      <alignment horizontal="general" vertical="top" textRotation="180"/>
    </xf>
    <xf numFmtId="0" fontId="39" fillId="4" borderId="64" applyAlignment="1" pivotButton="0" quotePrefix="0" xfId="25">
      <alignment horizontal="general" vertical="top" textRotation="180"/>
    </xf>
    <xf numFmtId="0" fontId="37" fillId="0" borderId="0" applyAlignment="1" pivotButton="0" quotePrefix="0" xfId="25">
      <alignment horizontal="general" vertical="bottom"/>
    </xf>
    <xf numFmtId="49" fontId="36" fillId="0" borderId="0" applyAlignment="1" pivotButton="0" quotePrefix="0" xfId="25">
      <alignment horizontal="general" vertical="bottom"/>
    </xf>
    <xf numFmtId="0" fontId="39" fillId="4" borderId="38" applyAlignment="1" pivotButton="0" quotePrefix="0" xfId="25">
      <alignment horizontal="general" vertical="center"/>
    </xf>
    <xf numFmtId="0" fontId="37" fillId="3" borderId="1" applyAlignment="1" pivotButton="0" quotePrefix="0" xfId="25">
      <alignment horizontal="left" vertical="top"/>
    </xf>
    <xf numFmtId="0" fontId="36" fillId="3" borderId="13" applyAlignment="1" pivotButton="0" quotePrefix="0" xfId="25">
      <alignment horizontal="center" vertical="top"/>
    </xf>
    <xf numFmtId="0" fontId="36" fillId="3" borderId="3" applyAlignment="1" pivotButton="0" quotePrefix="0" xfId="25">
      <alignment horizontal="right" vertical="top"/>
    </xf>
    <xf numFmtId="0" fontId="38" fillId="6" borderId="51" applyAlignment="1" pivotButton="0" quotePrefix="0" xfId="25">
      <alignment horizontal="right" vertical="bottom"/>
    </xf>
    <xf numFmtId="0" fontId="42" fillId="0" borderId="2" applyAlignment="1" pivotButton="0" quotePrefix="0" xfId="25">
      <alignment horizontal="center" vertical="bottom"/>
    </xf>
    <xf numFmtId="0" fontId="42" fillId="0" borderId="43" applyAlignment="1" pivotButton="0" quotePrefix="0" xfId="25">
      <alignment horizontal="center" vertical="bottom"/>
    </xf>
    <xf numFmtId="0" fontId="39" fillId="4" borderId="42" applyAlignment="1" pivotButton="0" quotePrefix="0" xfId="25">
      <alignment horizontal="general" vertical="center"/>
    </xf>
    <xf numFmtId="0" fontId="38" fillId="6" borderId="0" applyAlignment="1" pivotButton="0" quotePrefix="0" xfId="25">
      <alignment horizontal="right" vertical="bottom"/>
    </xf>
    <xf numFmtId="0" fontId="36" fillId="0" borderId="0" applyAlignment="1" pivotButton="0" quotePrefix="0" xfId="25">
      <alignment horizontal="general" vertical="top"/>
    </xf>
    <xf numFmtId="0" fontId="36" fillId="6" borderId="0" applyAlignment="1" pivotButton="0" quotePrefix="0" xfId="25">
      <alignment horizontal="right" vertical="bottom"/>
    </xf>
    <xf numFmtId="0" fontId="43" fillId="0" borderId="0" applyAlignment="1" pivotButton="0" quotePrefix="0" xfId="25">
      <alignment horizontal="center" vertical="bottom"/>
    </xf>
    <xf numFmtId="0" fontId="36" fillId="0" borderId="0" applyAlignment="1" pivotButton="0" quotePrefix="0" xfId="25">
      <alignment horizontal="right" vertical="bottom"/>
    </xf>
    <xf numFmtId="0" fontId="37" fillId="3" borderId="44" applyAlignment="1" pivotButton="0" quotePrefix="0" xfId="25">
      <alignment horizontal="left" vertical="top"/>
    </xf>
    <xf numFmtId="0" fontId="36" fillId="3" borderId="45" applyAlignment="1" pivotButton="0" quotePrefix="0" xfId="25">
      <alignment horizontal="center" vertical="top"/>
    </xf>
    <xf numFmtId="0" fontId="36" fillId="3" borderId="46" applyAlignment="1" pivotButton="0" quotePrefix="0" xfId="25">
      <alignment horizontal="right" vertical="top"/>
    </xf>
    <xf numFmtId="0" fontId="36" fillId="6" borderId="47" applyAlignment="1" pivotButton="0" quotePrefix="0" xfId="25">
      <alignment horizontal="right" vertical="bottom"/>
    </xf>
    <xf numFmtId="0" fontId="42" fillId="0" borderId="48" applyAlignment="1" pivotButton="0" quotePrefix="0" xfId="25">
      <alignment horizontal="center" vertical="bottom"/>
    </xf>
    <xf numFmtId="0" fontId="42" fillId="0" borderId="49" applyAlignment="1" pivotButton="0" quotePrefix="0" xfId="25">
      <alignment horizontal="center" vertical="bottom"/>
    </xf>
    <xf numFmtId="0" fontId="39" fillId="4" borderId="38" applyAlignment="1" pivotButton="0" quotePrefix="0" xfId="25">
      <alignment horizontal="general" vertical="top"/>
    </xf>
    <xf numFmtId="0" fontId="37" fillId="3" borderId="39" applyAlignment="1" pivotButton="0" quotePrefix="0" xfId="25">
      <alignment horizontal="general" vertical="bottom"/>
    </xf>
    <xf numFmtId="0" fontId="37" fillId="3" borderId="27" applyAlignment="1" pivotButton="0" quotePrefix="0" xfId="25">
      <alignment horizontal="general" vertical="bottom"/>
    </xf>
    <xf numFmtId="0" fontId="36" fillId="3" borderId="40" applyAlignment="1" pivotButton="0" quotePrefix="0" xfId="25">
      <alignment horizontal="right" vertical="bottom"/>
    </xf>
    <xf numFmtId="0" fontId="36" fillId="6" borderId="26" applyAlignment="1" pivotButton="0" quotePrefix="0" xfId="25">
      <alignment horizontal="left" vertical="bottom"/>
    </xf>
    <xf numFmtId="0" fontId="42" fillId="0" borderId="26" applyAlignment="1" pivotButton="0" quotePrefix="0" xfId="25">
      <alignment horizontal="center" vertical="bottom"/>
    </xf>
    <xf numFmtId="0" fontId="42" fillId="0" borderId="41" applyAlignment="1" pivotButton="0" quotePrefix="0" xfId="25">
      <alignment horizontal="center" vertical="bottom"/>
    </xf>
    <xf numFmtId="0" fontId="39" fillId="4" borderId="42" applyAlignment="1" pivotButton="0" quotePrefix="0" xfId="25">
      <alignment horizontal="general" vertical="top"/>
    </xf>
    <xf numFmtId="0" fontId="37" fillId="3" borderId="1" applyAlignment="1" pivotButton="0" quotePrefix="0" xfId="25">
      <alignment horizontal="general" vertical="bottom"/>
    </xf>
    <xf numFmtId="0" fontId="36" fillId="3" borderId="13" applyAlignment="1" pivotButton="0" quotePrefix="0" xfId="25">
      <alignment horizontal="general" vertical="bottom"/>
    </xf>
    <xf numFmtId="0" fontId="36" fillId="3" borderId="3" applyAlignment="1" pivotButton="0" quotePrefix="0" xfId="25">
      <alignment horizontal="right" vertical="bottom"/>
    </xf>
    <xf numFmtId="0" fontId="36" fillId="6" borderId="2" applyAlignment="1" pivotButton="0" quotePrefix="0" xfId="25">
      <alignment horizontal="left" vertical="bottom"/>
    </xf>
    <xf numFmtId="0" fontId="0" fillId="3" borderId="13" applyAlignment="1" pivotButton="0" quotePrefix="0" xfId="25">
      <alignment horizontal="general" vertical="bottom"/>
    </xf>
    <xf numFmtId="0" fontId="36" fillId="6" borderId="2" applyAlignment="1" pivotButton="0" quotePrefix="0" xfId="25">
      <alignment horizontal="general" vertical="bottom"/>
    </xf>
    <xf numFmtId="0" fontId="37" fillId="3" borderId="50" applyAlignment="1" pivotButton="0" quotePrefix="0" xfId="25">
      <alignment horizontal="general" vertical="bottom"/>
    </xf>
    <xf numFmtId="0" fontId="36" fillId="3" borderId="51" applyAlignment="1" pivotButton="0" quotePrefix="0" xfId="25">
      <alignment horizontal="general" vertical="bottom"/>
    </xf>
    <xf numFmtId="0" fontId="36" fillId="3" borderId="52" applyAlignment="1" pivotButton="0" quotePrefix="0" xfId="25">
      <alignment horizontal="right" vertical="bottom"/>
    </xf>
    <xf numFmtId="0" fontId="36" fillId="6" borderId="53" applyAlignment="1" pivotButton="0" quotePrefix="0" xfId="25">
      <alignment horizontal="left" vertical="bottom"/>
    </xf>
    <xf numFmtId="0" fontId="42" fillId="0" borderId="53" applyAlignment="1" pivotButton="0" quotePrefix="0" xfId="25">
      <alignment horizontal="center" vertical="bottom"/>
    </xf>
    <xf numFmtId="0" fontId="42" fillId="0" borderId="54" applyAlignment="1" pivotButton="0" quotePrefix="0" xfId="25">
      <alignment horizontal="center" vertical="bottom"/>
    </xf>
    <xf numFmtId="0" fontId="36" fillId="0" borderId="55" applyAlignment="1" pivotButton="0" quotePrefix="0" xfId="25">
      <alignment horizontal="left" vertical="bottom"/>
    </xf>
    <xf numFmtId="0" fontId="44" fillId="0" borderId="55" applyAlignment="1" pivotButton="0" quotePrefix="0" xfId="25">
      <alignment horizontal="center" vertical="bottom"/>
    </xf>
    <xf numFmtId="0" fontId="44" fillId="0" borderId="56" applyAlignment="1" pivotButton="0" quotePrefix="0" xfId="25">
      <alignment horizontal="center" vertical="bottom"/>
    </xf>
    <xf numFmtId="0" fontId="39" fillId="4" borderId="65" applyAlignment="1" pivotButton="0" quotePrefix="0" xfId="25">
      <alignment horizontal="general" vertical="top"/>
    </xf>
    <xf numFmtId="0" fontId="36" fillId="0" borderId="2" applyAlignment="1" pivotButton="0" quotePrefix="0" xfId="25">
      <alignment horizontal="left" vertical="bottom"/>
    </xf>
    <xf numFmtId="0" fontId="41" fillId="0" borderId="2" applyAlignment="1" pivotButton="0" quotePrefix="0" xfId="25">
      <alignment horizontal="left" vertical="bottom"/>
    </xf>
    <xf numFmtId="0" fontId="44" fillId="0" borderId="2" applyAlignment="1" pivotButton="0" quotePrefix="0" xfId="25">
      <alignment horizontal="center" vertical="bottom"/>
    </xf>
    <xf numFmtId="0" fontId="44" fillId="0" borderId="43" applyAlignment="1" pivotButton="0" quotePrefix="0" xfId="25">
      <alignment horizontal="center" vertical="bottom"/>
    </xf>
    <xf numFmtId="0" fontId="36" fillId="0" borderId="2" applyAlignment="1" pivotButton="0" quotePrefix="0" xfId="25">
      <alignment horizontal="left" vertical="top"/>
    </xf>
    <xf numFmtId="0" fontId="36" fillId="0" borderId="2" applyAlignment="1" pivotButton="0" quotePrefix="0" xfId="25">
      <alignment horizontal="general" vertical="bottom"/>
    </xf>
    <xf numFmtId="167" fontId="36" fillId="0" borderId="2" applyAlignment="1" pivotButton="0" quotePrefix="0" xfId="25">
      <alignment horizontal="general" vertical="top" textRotation="255"/>
    </xf>
    <xf numFmtId="167" fontId="36" fillId="0" borderId="43" applyAlignment="1" pivotButton="0" quotePrefix="0" xfId="25">
      <alignment horizontal="general" vertical="top" textRotation="255"/>
    </xf>
    <xf numFmtId="0" fontId="39" fillId="4" borderId="66" applyAlignment="1" pivotButton="0" quotePrefix="0" xfId="25">
      <alignment horizontal="general" vertical="top"/>
    </xf>
    <xf numFmtId="0" fontId="36" fillId="0" borderId="48" applyAlignment="1" pivotButton="0" quotePrefix="0" xfId="25">
      <alignment horizontal="left" vertical="top"/>
    </xf>
    <xf numFmtId="0" fontId="36" fillId="0" borderId="48" applyAlignment="1" pivotButton="0" quotePrefix="0" xfId="25">
      <alignment horizontal="general" vertical="bottom"/>
    </xf>
    <xf numFmtId="0" fontId="36" fillId="0" borderId="48" applyAlignment="1" pivotButton="0" quotePrefix="0" xfId="25">
      <alignment horizontal="general" vertical="bottom" textRotation="255"/>
    </xf>
    <xf numFmtId="0" fontId="36" fillId="0" borderId="49" applyAlignment="1" pivotButton="0" quotePrefix="0" xfId="25">
      <alignment horizontal="general" vertical="bottom" textRotation="255"/>
    </xf>
    <xf numFmtId="0" fontId="39" fillId="4" borderId="63" applyAlignment="1" pivotButton="0" quotePrefix="0" xfId="24">
      <alignment horizontal="left" vertical="bottom"/>
    </xf>
    <xf numFmtId="0" fontId="40" fillId="4" borderId="63" applyAlignment="1" pivotButton="0" quotePrefix="0" xfId="24">
      <alignment horizontal="general" vertical="bottom"/>
    </xf>
    <xf numFmtId="0" fontId="40" fillId="4" borderId="63" applyAlignment="1" pivotButton="0" quotePrefix="0" xfId="24">
      <alignment horizontal="right" vertical="bottom"/>
    </xf>
    <xf numFmtId="0" fontId="39" fillId="4" borderId="63" applyAlignment="1" pivotButton="0" quotePrefix="0" xfId="24">
      <alignment horizontal="general" vertical="top" textRotation="180"/>
    </xf>
    <xf numFmtId="0" fontId="39" fillId="4" borderId="64" applyAlignment="1" pivotButton="0" quotePrefix="0" xfId="24">
      <alignment horizontal="general" vertical="top" textRotation="180"/>
    </xf>
    <xf numFmtId="0" fontId="37" fillId="3" borderId="1" applyAlignment="1" pivotButton="0" quotePrefix="0" xfId="24">
      <alignment horizontal="right" vertical="bottom"/>
    </xf>
    <xf numFmtId="0" fontId="39" fillId="4" borderId="65" applyAlignment="1" pivotButton="0" quotePrefix="0" xfId="24">
      <alignment horizontal="general" vertical="top"/>
    </xf>
    <xf numFmtId="0" fontId="39" fillId="4" borderId="66" applyAlignment="1" pivotButton="0" quotePrefix="0" xfId="24">
      <alignment horizontal="general" vertical="top"/>
    </xf>
    <xf numFmtId="0" fontId="5" fillId="2" borderId="0" applyAlignment="1" pivotButton="0" quotePrefix="0" xfId="0">
      <alignment horizontal="general" vertical="center"/>
    </xf>
    <xf numFmtId="0" fontId="7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center"/>
    </xf>
    <xf numFmtId="0" fontId="8" fillId="2" borderId="0" applyAlignment="1" pivotButton="0" quotePrefix="0" xfId="0">
      <alignment horizontal="justify" vertical="bottom"/>
    </xf>
    <xf numFmtId="0" fontId="0" fillId="0" borderId="0" pivotButton="0" quotePrefix="0" xfId="0"/>
    <xf numFmtId="0" fontId="10" fillId="2" borderId="0" applyAlignment="1" pivotButton="0" quotePrefix="0" xfId="0">
      <alignment horizontal="justify" vertical="bottom"/>
    </xf>
    <xf numFmtId="0" fontId="10" fillId="2" borderId="0" applyAlignment="1" pivotButton="0" quotePrefix="0" xfId="0">
      <alignment horizontal="justify" vertical="bottom" wrapText="1"/>
    </xf>
    <xf numFmtId="0" fontId="10" fillId="2" borderId="0" applyAlignment="1" pivotButton="0" quotePrefix="0" xfId="0">
      <alignment horizontal="left" vertical="bottom" wrapText="1"/>
    </xf>
    <xf numFmtId="0" fontId="13" fillId="2" borderId="0" applyAlignment="1" pivotButton="0" quotePrefix="0" xfId="0">
      <alignment horizontal="general" vertical="center"/>
    </xf>
    <xf numFmtId="0" fontId="12" fillId="2" borderId="0" applyAlignment="1" pivotButton="0" quotePrefix="0" xfId="0">
      <alignment horizontal="justify" vertical="bottom"/>
    </xf>
    <xf numFmtId="0" fontId="14" fillId="2" borderId="0" applyAlignment="1" pivotButton="0" quotePrefix="0" xfId="0">
      <alignment horizontal="justify" vertical="bottom"/>
    </xf>
    <xf numFmtId="0" fontId="8" fillId="2" borderId="0" applyAlignment="1" pivotButton="0" quotePrefix="0" xfId="0">
      <alignment horizontal="general" vertical="center"/>
    </xf>
    <xf numFmtId="0" fontId="11" fillId="2" borderId="0" applyAlignment="1" pivotButton="0" quotePrefix="0" xfId="0">
      <alignment horizontal="justify" vertical="bottom"/>
    </xf>
    <xf numFmtId="0" fontId="10" fillId="0" borderId="0" applyAlignment="1" pivotButton="0" quotePrefix="0" xfId="24">
      <alignment horizontal="left" vertical="bottom" indent="1"/>
    </xf>
    <xf numFmtId="0" fontId="10" fillId="0" borderId="0" applyAlignment="1" pivotButton="0" quotePrefix="0" xfId="24">
      <alignment horizontal="general" vertical="bottom"/>
    </xf>
    <xf numFmtId="0" fontId="10" fillId="0" borderId="0" applyAlignment="1" pivotButton="0" quotePrefix="0" xfId="24">
      <alignment horizontal="center" vertical="center"/>
    </xf>
    <xf numFmtId="0" fontId="15" fillId="0" borderId="1" applyAlignment="1" pivotButton="0" quotePrefix="0" xfId="24">
      <alignment horizontal="center" vertical="center"/>
    </xf>
    <xf numFmtId="0" fontId="16" fillId="0" borderId="2" applyAlignment="1" pivotButton="0" quotePrefix="0" xfId="24">
      <alignment horizontal="center" vertical="center"/>
    </xf>
    <xf numFmtId="0" fontId="0" fillId="0" borderId="13" pivotButton="0" quotePrefix="0" xfId="0"/>
    <xf numFmtId="0" fontId="0" fillId="0" borderId="3" pivotButton="0" quotePrefix="0" xfId="0"/>
    <xf numFmtId="0" fontId="17" fillId="3" borderId="0" applyAlignment="1" pivotButton="0" quotePrefix="0" xfId="24">
      <alignment horizontal="left" vertical="bottom" indent="1"/>
    </xf>
    <xf numFmtId="0" fontId="18" fillId="0" borderId="0" applyAlignment="1" pivotButton="0" quotePrefix="0" xfId="24">
      <alignment horizontal="left" vertical="bottom" indent="1"/>
    </xf>
    <xf numFmtId="0" fontId="10" fillId="3" borderId="0" applyAlignment="1" pivotButton="0" quotePrefix="0" xfId="24">
      <alignment horizontal="general" vertical="bottom"/>
    </xf>
    <xf numFmtId="0" fontId="11" fillId="3" borderId="2" applyAlignment="1" pivotButton="0" quotePrefix="0" xfId="24">
      <alignment horizontal="left" vertical="bottom"/>
    </xf>
    <xf numFmtId="0" fontId="12" fillId="0" borderId="2" applyAlignment="1" pivotButton="0" quotePrefix="0" xfId="24">
      <alignment horizontal="left" vertical="bottom"/>
    </xf>
    <xf numFmtId="0" fontId="10" fillId="0" borderId="3" applyAlignment="1" pivotButton="0" quotePrefix="0" xfId="24">
      <alignment horizontal="general" vertical="bottom"/>
    </xf>
    <xf numFmtId="0" fontId="12" fillId="0" borderId="3" applyAlignment="1" pivotButton="0" quotePrefix="0" xfId="24">
      <alignment horizontal="general" vertical="bottom"/>
    </xf>
    <xf numFmtId="0" fontId="11" fillId="3" borderId="2" applyAlignment="1" pivotButton="0" quotePrefix="0" xfId="24">
      <alignment horizontal="general" vertical="center"/>
    </xf>
    <xf numFmtId="0" fontId="12" fillId="0" borderId="2" applyAlignment="1" pivotButton="0" quotePrefix="0" xfId="24">
      <alignment horizontal="left" vertical="center"/>
    </xf>
    <xf numFmtId="0" fontId="12" fillId="0" borderId="3" applyAlignment="1" pivotButton="0" quotePrefix="0" xfId="24">
      <alignment horizontal="left" vertical="bottom" indent="1"/>
    </xf>
    <xf numFmtId="0" fontId="11" fillId="0" borderId="0" applyAlignment="1" pivotButton="0" quotePrefix="0" xfId="24">
      <alignment horizontal="general" vertical="bottom"/>
    </xf>
    <xf numFmtId="0" fontId="18" fillId="0" borderId="0" applyAlignment="1" pivotButton="0" quotePrefix="0" xfId="24">
      <alignment horizontal="left" vertical="bottom"/>
    </xf>
    <xf numFmtId="0" fontId="17" fillId="0" borderId="0" applyAlignment="1" pivotButton="0" quotePrefix="0" xfId="24">
      <alignment horizontal="left" vertical="bottom" indent="1"/>
    </xf>
    <xf numFmtId="0" fontId="11" fillId="0" borderId="0" applyAlignment="1" pivotButton="0" quotePrefix="0" xfId="24">
      <alignment horizontal="left" vertical="bottom"/>
    </xf>
    <xf numFmtId="0" fontId="10" fillId="0" borderId="0" applyAlignment="1" pivotButton="0" quotePrefix="0" xfId="24">
      <alignment horizontal="general" vertical="center"/>
    </xf>
    <xf numFmtId="164" fontId="19" fillId="4" borderId="4" applyAlignment="1" pivotButton="0" quotePrefix="0" xfId="24">
      <alignment horizontal="center" vertical="center"/>
    </xf>
    <xf numFmtId="0" fontId="19" fillId="4" borderId="5" applyAlignment="1" pivotButton="0" quotePrefix="0" xfId="24">
      <alignment horizontal="center" vertical="center"/>
    </xf>
    <xf numFmtId="0" fontId="19" fillId="4" borderId="6" applyAlignment="1" pivotButton="0" quotePrefix="0" xfId="24">
      <alignment horizontal="center" vertical="center"/>
    </xf>
    <xf numFmtId="0" fontId="10" fillId="0" borderId="0" applyAlignment="1" pivotButton="0" quotePrefix="0" xfId="24">
      <alignment horizontal="general" vertical="top"/>
    </xf>
    <xf numFmtId="0" fontId="12" fillId="0" borderId="7" applyAlignment="1" pivotButton="0" quotePrefix="0" xfId="24">
      <alignment horizontal="general" vertical="top" wrapText="1"/>
    </xf>
    <xf numFmtId="49" fontId="10" fillId="0" borderId="8" applyAlignment="1" pivotButton="0" quotePrefix="0" xfId="24">
      <alignment horizontal="general" vertical="top"/>
    </xf>
    <xf numFmtId="0" fontId="10" fillId="0" borderId="8" applyAlignment="1" pivotButton="0" quotePrefix="0" xfId="24">
      <alignment horizontal="general" vertical="top"/>
    </xf>
    <xf numFmtId="165" fontId="10" fillId="0" borderId="8" applyAlignment="1" pivotButton="0" quotePrefix="0" xfId="24">
      <alignment horizontal="general" vertical="top"/>
    </xf>
    <xf numFmtId="0" fontId="12" fillId="0" borderId="9" applyAlignment="1" pivotButton="0" quotePrefix="0" xfId="24">
      <alignment horizontal="general" vertical="top" wrapText="1"/>
    </xf>
    <xf numFmtId="164" fontId="10" fillId="0" borderId="7" applyAlignment="1" pivotButton="0" quotePrefix="0" xfId="24">
      <alignment horizontal="general" vertical="top"/>
    </xf>
    <xf numFmtId="0" fontId="10" fillId="0" borderId="9" applyAlignment="1" pivotButton="0" quotePrefix="0" xfId="24">
      <alignment horizontal="general" vertical="top"/>
    </xf>
    <xf numFmtId="164" fontId="10" fillId="0" borderId="10" applyAlignment="1" pivotButton="0" quotePrefix="0" xfId="24">
      <alignment horizontal="general" vertical="top"/>
    </xf>
    <xf numFmtId="49" fontId="10" fillId="0" borderId="11" applyAlignment="1" pivotButton="0" quotePrefix="0" xfId="24">
      <alignment horizontal="general" vertical="top"/>
    </xf>
    <xf numFmtId="0" fontId="10" fillId="0" borderId="11" applyAlignment="1" pivotButton="0" quotePrefix="0" xfId="24">
      <alignment horizontal="general" vertical="top"/>
    </xf>
    <xf numFmtId="0" fontId="10" fillId="0" borderId="12" applyAlignment="1" pivotButton="0" quotePrefix="0" xfId="24">
      <alignment horizontal="general" vertical="top"/>
    </xf>
    <xf numFmtId="1" fontId="10" fillId="3" borderId="0" applyAlignment="1" pivotButton="0" quotePrefix="0" xfId="24">
      <alignment horizontal="general" vertical="bottom"/>
    </xf>
    <xf numFmtId="0" fontId="10" fillId="3" borderId="0" applyAlignment="1" pivotButton="0" quotePrefix="0" xfId="24">
      <alignment horizontal="left" vertical="bottom"/>
    </xf>
    <xf numFmtId="0" fontId="10" fillId="3" borderId="0" applyAlignment="1" pivotButton="0" quotePrefix="0" xfId="24">
      <alignment horizontal="left" vertical="bottom" wrapText="1"/>
    </xf>
    <xf numFmtId="1" fontId="10" fillId="3" borderId="0" applyAlignment="1" applyProtection="1" pivotButton="0" quotePrefix="0" xfId="24">
      <alignment horizontal="general" vertical="bottom"/>
      <protection locked="1" hidden="1"/>
    </xf>
    <xf numFmtId="0" fontId="16" fillId="3" borderId="0" applyAlignment="1" pivotButton="0" quotePrefix="0" xfId="24">
      <alignment horizontal="left" vertical="bottom"/>
    </xf>
    <xf numFmtId="0" fontId="22" fillId="3" borderId="0" applyAlignment="1" pivotButton="0" quotePrefix="0" xfId="24">
      <alignment horizontal="left" vertical="bottom"/>
    </xf>
    <xf numFmtId="0" fontId="23" fillId="3" borderId="0" applyAlignment="1" pivotButton="0" quotePrefix="0" xfId="24">
      <alignment horizontal="left" vertical="bottom"/>
    </xf>
    <xf numFmtId="1" fontId="11" fillId="3" borderId="1" applyAlignment="1" pivotButton="0" quotePrefix="0" xfId="24">
      <alignment horizontal="general" vertical="bottom"/>
    </xf>
    <xf numFmtId="0" fontId="12" fillId="3" borderId="2" applyAlignment="1" pivotButton="0" quotePrefix="0" xfId="24">
      <alignment horizontal="left" vertical="bottom"/>
    </xf>
    <xf numFmtId="1" fontId="11" fillId="3" borderId="2" applyAlignment="1" pivotButton="0" quotePrefix="0" xfId="24">
      <alignment horizontal="left" vertical="bottom"/>
    </xf>
    <xf numFmtId="0" fontId="12" fillId="3" borderId="1" applyAlignment="1" pivotButton="0" quotePrefix="0" xfId="24">
      <alignment horizontal="left" vertical="bottom"/>
    </xf>
    <xf numFmtId="0" fontId="12" fillId="3" borderId="13" applyAlignment="1" pivotButton="0" quotePrefix="0" xfId="24">
      <alignment horizontal="left" vertical="bottom"/>
    </xf>
    <xf numFmtId="0" fontId="12" fillId="3" borderId="3" applyAlignment="1" pivotButton="0" quotePrefix="0" xfId="24">
      <alignment horizontal="left" vertical="bottom"/>
    </xf>
    <xf numFmtId="0" fontId="10" fillId="3" borderId="0" applyAlignment="1" pivotButton="0" quotePrefix="0" xfId="24">
      <alignment horizontal="general" vertical="bottom" wrapText="1"/>
    </xf>
    <xf numFmtId="1" fontId="11" fillId="3" borderId="2" applyAlignment="1" pivotButton="0" quotePrefix="0" xfId="24">
      <alignment horizontal="general" vertical="center" wrapText="1"/>
    </xf>
    <xf numFmtId="0" fontId="12" fillId="3" borderId="2" applyAlignment="1" pivotButton="0" quotePrefix="0" xfId="24">
      <alignment horizontal="left" vertical="top" wrapText="1"/>
    </xf>
    <xf numFmtId="1" fontId="17" fillId="3" borderId="0" applyAlignment="1" pivotButton="0" quotePrefix="0" xfId="24">
      <alignment horizontal="general" vertical="bottom"/>
    </xf>
    <xf numFmtId="0" fontId="10" fillId="3" borderId="0" applyAlignment="1" pivotButton="0" quotePrefix="0" xfId="24">
      <alignment horizontal="general" vertical="center"/>
    </xf>
    <xf numFmtId="1" fontId="10" fillId="3" borderId="0" applyAlignment="1" applyProtection="1" pivotButton="0" quotePrefix="0" xfId="24">
      <alignment horizontal="general" vertical="center"/>
      <protection locked="1" hidden="1"/>
    </xf>
    <xf numFmtId="0" fontId="10" fillId="3" borderId="0" applyAlignment="1" pivotButton="0" quotePrefix="0" xfId="24">
      <alignment horizontal="left" vertical="center"/>
    </xf>
    <xf numFmtId="0" fontId="10" fillId="3" borderId="0" applyAlignment="1" pivotButton="0" quotePrefix="0" xfId="24">
      <alignment horizontal="left" vertical="center" wrapText="1"/>
    </xf>
    <xf numFmtId="0" fontId="11" fillId="3" borderId="0" applyAlignment="1" pivotButton="0" quotePrefix="0" xfId="24">
      <alignment horizontal="center" vertical="bottom"/>
    </xf>
    <xf numFmtId="1" fontId="19" fillId="5" borderId="4" applyAlignment="1" pivotButton="0" quotePrefix="0" xfId="24">
      <alignment horizontal="center" vertical="center"/>
    </xf>
    <xf numFmtId="1" fontId="19" fillId="5" borderId="14" applyAlignment="1" pivotButton="0" quotePrefix="0" xfId="24">
      <alignment horizontal="center" vertical="center" wrapText="1"/>
    </xf>
    <xf numFmtId="1" fontId="19" fillId="5" borderId="14" applyAlignment="1" pivotButton="0" quotePrefix="0" xfId="24">
      <alignment horizontal="center" vertical="center"/>
    </xf>
    <xf numFmtId="0" fontId="19" fillId="5" borderId="5" applyAlignment="1" pivotButton="0" quotePrefix="0" xfId="24">
      <alignment horizontal="center" vertical="center"/>
    </xf>
    <xf numFmtId="0" fontId="19" fillId="5" borderId="5" applyAlignment="1" pivotButton="0" quotePrefix="0" xfId="24">
      <alignment horizontal="center" vertical="center" wrapText="1"/>
    </xf>
    <xf numFmtId="0" fontId="19" fillId="5" borderId="15" applyAlignment="1" pivotButton="0" quotePrefix="0" xfId="24">
      <alignment horizontal="center" vertical="center"/>
    </xf>
    <xf numFmtId="0" fontId="19" fillId="5" borderId="6" applyAlignment="1" pivotButton="0" quotePrefix="0" xfId="24">
      <alignment horizontal="center" vertical="center"/>
    </xf>
    <xf numFmtId="1" fontId="10" fillId="3" borderId="7" applyAlignment="1" pivotButton="0" quotePrefix="0" xfId="24">
      <alignment horizontal="center" vertical="center"/>
    </xf>
    <xf numFmtId="1" fontId="10" fillId="3" borderId="16" applyAlignment="1" pivotButton="0" quotePrefix="0" xfId="24">
      <alignment vertical="top" wrapText="1"/>
    </xf>
    <xf numFmtId="1" fontId="10" fillId="3" borderId="16" applyAlignment="1" pivotButton="0" quotePrefix="0" xfId="24">
      <alignment horizontal="general" vertical="center"/>
    </xf>
    <xf numFmtId="49" fontId="10" fillId="3" borderId="8" applyAlignment="1" pivotButton="0" quotePrefix="0" xfId="24">
      <alignment vertical="top" wrapText="1"/>
    </xf>
    <xf numFmtId="49" fontId="10" fillId="3" borderId="8" applyAlignment="1" pivotButton="0" quotePrefix="0" xfId="24">
      <alignment horizontal="left" vertical="center" wrapText="1"/>
    </xf>
    <xf numFmtId="0" fontId="24" fillId="3" borderId="8" applyAlignment="1" pivotButton="0" quotePrefix="0" xfId="20">
      <alignment horizontal="left" vertical="center"/>
    </xf>
    <xf numFmtId="0" fontId="24" fillId="3" borderId="8" applyAlignment="1" pivotButton="0" quotePrefix="0" xfId="20">
      <alignment vertical="top" wrapText="1"/>
    </xf>
    <xf numFmtId="0" fontId="10" fillId="3" borderId="9" applyAlignment="1" pivotButton="0" quotePrefix="0" xfId="24">
      <alignment vertical="top" wrapText="1"/>
    </xf>
    <xf numFmtId="49" fontId="10" fillId="3" borderId="8" applyAlignment="1" pivotButton="0" quotePrefix="0" xfId="24">
      <alignment horizontal="left" vertical="center"/>
    </xf>
    <xf numFmtId="0" fontId="10" fillId="3" borderId="8" applyAlignment="1" pivotButton="0" quotePrefix="0" xfId="24">
      <alignment horizontal="left" vertical="center"/>
    </xf>
    <xf numFmtId="0" fontId="10" fillId="3" borderId="9" applyAlignment="1" pivotButton="0" quotePrefix="0" xfId="24">
      <alignment horizontal="left" vertical="center"/>
    </xf>
    <xf numFmtId="1" fontId="10" fillId="3" borderId="10" applyAlignment="1" pivotButton="0" quotePrefix="0" xfId="24">
      <alignment horizontal="center" vertical="center"/>
    </xf>
    <xf numFmtId="1" fontId="10" fillId="3" borderId="17" applyAlignment="1" pivotButton="0" quotePrefix="0" xfId="24">
      <alignment horizontal="general" vertical="center"/>
    </xf>
    <xf numFmtId="49" fontId="10" fillId="3" borderId="11" applyAlignment="1" pivotButton="0" quotePrefix="0" xfId="24">
      <alignment horizontal="left" vertical="center"/>
    </xf>
    <xf numFmtId="49" fontId="10" fillId="3" borderId="11" applyAlignment="1" pivotButton="0" quotePrefix="0" xfId="24">
      <alignment horizontal="left" vertical="center" wrapText="1"/>
    </xf>
    <xf numFmtId="0" fontId="10" fillId="3" borderId="11" applyAlignment="1" pivotButton="0" quotePrefix="0" xfId="24">
      <alignment horizontal="left" vertical="center"/>
    </xf>
    <xf numFmtId="0" fontId="10" fillId="3" borderId="12" applyAlignment="1" pivotButton="0" quotePrefix="0" xfId="24">
      <alignment horizontal="left" vertical="center"/>
    </xf>
    <xf numFmtId="0" fontId="16" fillId="3" borderId="0" applyAlignment="1" pivotButton="0" quotePrefix="0" xfId="21">
      <alignment horizontal="center" vertical="bottom"/>
    </xf>
    <xf numFmtId="0" fontId="11" fillId="3" borderId="0" applyAlignment="1" pivotButton="0" quotePrefix="0" xfId="21">
      <alignment horizontal="general" vertical="bottom"/>
    </xf>
    <xf numFmtId="0" fontId="10" fillId="3" borderId="0" applyAlignment="1" pivotButton="0" quotePrefix="0" xfId="21">
      <alignment horizontal="general" vertical="bottom"/>
    </xf>
    <xf numFmtId="164" fontId="10" fillId="3" borderId="0" applyAlignment="1" pivotButton="0" quotePrefix="0" xfId="21">
      <alignment horizontal="general" vertical="bottom"/>
    </xf>
    <xf numFmtId="0" fontId="11" fillId="3" borderId="2" applyAlignment="1" pivotButton="0" quotePrefix="0" xfId="24">
      <alignment horizontal="left" vertical="center"/>
    </xf>
    <xf numFmtId="0" fontId="11" fillId="3" borderId="2" applyAlignment="1" pivotButton="0" quotePrefix="0" xfId="24">
      <alignment horizontal="center" vertical="bottom"/>
    </xf>
    <xf numFmtId="166" fontId="12" fillId="3" borderId="2" applyAlignment="1" pivotButton="0" quotePrefix="0" xfId="24">
      <alignment horizontal="left" vertical="top"/>
    </xf>
    <xf numFmtId="0" fontId="12" fillId="3" borderId="2" applyAlignment="1" pivotButton="0" quotePrefix="0" xfId="21">
      <alignment horizontal="general" vertical="top"/>
    </xf>
    <xf numFmtId="0" fontId="17" fillId="3" borderId="0" applyAlignment="1" pivotButton="0" quotePrefix="0" xfId="24">
      <alignment horizontal="general" vertical="bottom"/>
    </xf>
    <xf numFmtId="0" fontId="18" fillId="3" borderId="0" applyAlignment="1" pivotButton="0" quotePrefix="0" xfId="21">
      <alignment horizontal="general" vertical="bottom"/>
    </xf>
    <xf numFmtId="0" fontId="19" fillId="4" borderId="14" applyAlignment="1" pivotButton="0" quotePrefix="0" xfId="24">
      <alignment horizontal="center" vertical="bottom"/>
    </xf>
    <xf numFmtId="0" fontId="19" fillId="4" borderId="5" applyAlignment="1" pivotButton="0" quotePrefix="0" xfId="24">
      <alignment horizontal="center" vertical="bottom"/>
    </xf>
    <xf numFmtId="0" fontId="19" fillId="4" borderId="5" applyAlignment="1" pivotButton="0" quotePrefix="0" xfId="24">
      <alignment horizontal="center" vertical="bottom" wrapText="1"/>
    </xf>
    <xf numFmtId="0" fontId="19" fillId="4" borderId="15" applyAlignment="1" pivotButton="0" quotePrefix="0" xfId="24">
      <alignment horizontal="center" vertical="bottom"/>
    </xf>
    <xf numFmtId="0" fontId="19" fillId="4" borderId="18" applyAlignment="1" pivotButton="0" quotePrefix="0" xfId="24">
      <alignment horizontal="center" vertical="bottom" wrapText="1"/>
    </xf>
    <xf numFmtId="0" fontId="10" fillId="3" borderId="16" applyAlignment="1" pivotButton="0" quotePrefix="0" xfId="24">
      <alignment horizontal="center" vertical="bottom"/>
    </xf>
    <xf numFmtId="49" fontId="24" fillId="3" borderId="8" applyAlignment="1" pivotButton="0" quotePrefix="0" xfId="20">
      <alignment horizontal="general" vertical="bottom"/>
    </xf>
    <xf numFmtId="0" fontId="10" fillId="3" borderId="8" applyAlignment="1" pivotButton="0" quotePrefix="0" xfId="24">
      <alignment horizontal="center" vertical="bottom"/>
    </xf>
    <xf numFmtId="0" fontId="10" fillId="3" borderId="19" applyAlignment="1" pivotButton="0" quotePrefix="0" xfId="24">
      <alignment horizontal="center" vertical="bottom"/>
    </xf>
    <xf numFmtId="0" fontId="27" fillId="4" borderId="17" applyAlignment="1" pivotButton="0" quotePrefix="0" xfId="24">
      <alignment horizontal="center" vertical="bottom"/>
    </xf>
    <xf numFmtId="0" fontId="28" fillId="4" borderId="0" applyAlignment="1" pivotButton="0" quotePrefix="0" xfId="0">
      <alignment horizontal="general" vertical="center"/>
    </xf>
    <xf numFmtId="0" fontId="27" fillId="4" borderId="11" applyAlignment="1" pivotButton="0" quotePrefix="0" xfId="24">
      <alignment horizontal="center" vertical="bottom"/>
    </xf>
    <xf numFmtId="0" fontId="10" fillId="3" borderId="0" applyAlignment="1" pivotButton="0" quotePrefix="0" xfId="24">
      <alignment horizontal="center" vertical="bottom"/>
    </xf>
    <xf numFmtId="10" fontId="10" fillId="3" borderId="0" applyAlignment="1" pivotButton="0" quotePrefix="0" xfId="24">
      <alignment horizontal="center" vertical="bottom"/>
    </xf>
    <xf numFmtId="9" fontId="10" fillId="3" borderId="0" applyAlignment="1" pivotButton="0" quotePrefix="0" xfId="24">
      <alignment horizontal="center" vertical="bottom"/>
    </xf>
    <xf numFmtId="0" fontId="11" fillId="3" borderId="0" applyAlignment="1" pivotButton="0" quotePrefix="0" xfId="24">
      <alignment horizontal="left" vertical="bottom"/>
    </xf>
    <xf numFmtId="2" fontId="11" fillId="3" borderId="0" applyAlignment="1" pivotButton="0" quotePrefix="0" xfId="24">
      <alignment horizontal="right" vertical="bottom" wrapText="1"/>
    </xf>
    <xf numFmtId="0" fontId="29" fillId="3" borderId="0" applyAlignment="1" pivotButton="0" quotePrefix="0" xfId="24">
      <alignment horizontal="center" vertical="bottom" wrapText="1"/>
    </xf>
    <xf numFmtId="0" fontId="36" fillId="0" borderId="0" applyAlignment="1" pivotButton="0" quotePrefix="0" xfId="24">
      <alignment horizontal="general" vertical="bottom"/>
    </xf>
    <xf numFmtId="0" fontId="37" fillId="0" borderId="0" applyAlignment="1" pivotButton="0" quotePrefix="0" xfId="24">
      <alignment horizontal="left" vertical="bottom"/>
    </xf>
    <xf numFmtId="0" fontId="36" fillId="0" borderId="0" applyAlignment="1" pivotButton="0" quotePrefix="0" xfId="24">
      <alignment horizontal="right" vertical="bottom"/>
    </xf>
    <xf numFmtId="0" fontId="36" fillId="0" borderId="20" applyAlignment="1" pivotButton="0" quotePrefix="0" xfId="24">
      <alignment horizontal="general" vertical="bottom"/>
    </xf>
    <xf numFmtId="0" fontId="37" fillId="0" borderId="20" applyAlignment="1" pivotButton="0" quotePrefix="0" xfId="24">
      <alignment horizontal="left" vertical="bottom"/>
    </xf>
    <xf numFmtId="0" fontId="37" fillId="3" borderId="21" applyAlignment="1" pivotButton="0" quotePrefix="0" xfId="22">
      <alignment horizontal="left" vertical="bottom" wrapText="1"/>
    </xf>
    <xf numFmtId="0" fontId="0" fillId="0" borderId="68" pivotButton="0" quotePrefix="0" xfId="0"/>
    <xf numFmtId="49" fontId="38" fillId="3" borderId="22" applyAlignment="1" pivotButton="0" quotePrefix="0" xfId="22">
      <alignment horizontal="left" vertical="bottom" wrapText="1"/>
    </xf>
    <xf numFmtId="0" fontId="0" fillId="0" borderId="70" pivotButton="0" quotePrefix="0" xfId="0"/>
    <xf numFmtId="0" fontId="37" fillId="3" borderId="23" applyAlignment="1" pivotButton="0" quotePrefix="0" xfId="22">
      <alignment horizontal="left" vertical="bottom" wrapText="1"/>
    </xf>
    <xf numFmtId="0" fontId="0" fillId="0" borderId="67" pivotButton="0" quotePrefix="0" xfId="0"/>
    <xf numFmtId="49" fontId="36" fillId="3" borderId="24" applyAlignment="1" pivotButton="0" quotePrefix="0" xfId="22">
      <alignment horizontal="center" vertical="bottom" wrapText="1"/>
    </xf>
    <xf numFmtId="0" fontId="0" fillId="0" borderId="72" pivotButton="0" quotePrefix="0" xfId="0"/>
    <xf numFmtId="49" fontId="36" fillId="0" borderId="0" applyAlignment="1" pivotButton="0" quotePrefix="0" xfId="24">
      <alignment horizontal="general" vertical="bottom"/>
    </xf>
    <xf numFmtId="0" fontId="37" fillId="3" borderId="25" applyAlignment="1" pivotButton="0" quotePrefix="0" xfId="22">
      <alignment horizontal="left" vertical="bottom" wrapText="1"/>
    </xf>
    <xf numFmtId="0" fontId="38" fillId="3" borderId="26" applyAlignment="1" pivotButton="0" quotePrefix="0" xfId="22">
      <alignment horizontal="left" vertical="bottom" wrapText="1"/>
    </xf>
    <xf numFmtId="0" fontId="0" fillId="0" borderId="27" pivotButton="0" quotePrefix="0" xfId="0"/>
    <xf numFmtId="0" fontId="0" fillId="0" borderId="40" pivotButton="0" quotePrefix="0" xfId="0"/>
    <xf numFmtId="0" fontId="37" fillId="3" borderId="2" applyAlignment="1" pivotButton="0" quotePrefix="0" xfId="22">
      <alignment horizontal="left" vertical="bottom" wrapText="1"/>
    </xf>
    <xf numFmtId="0" fontId="38" fillId="3" borderId="27" applyAlignment="1" pivotButton="0" quotePrefix="0" xfId="22">
      <alignment horizontal="left" vertical="bottom" wrapText="1"/>
    </xf>
    <xf numFmtId="0" fontId="38" fillId="3" borderId="27" applyAlignment="1" pivotButton="0" quotePrefix="0" xfId="22">
      <alignment horizontal="general" vertical="bottom" wrapText="1"/>
    </xf>
    <xf numFmtId="0" fontId="38" fillId="3" borderId="28" applyAlignment="1" pivotButton="0" quotePrefix="0" xfId="22">
      <alignment horizontal="general" vertical="bottom" wrapText="1"/>
    </xf>
    <xf numFmtId="0" fontId="38" fillId="3" borderId="1" applyAlignment="1" pivotButton="0" quotePrefix="0" xfId="22">
      <alignment horizontal="center" vertical="bottom" wrapText="1"/>
    </xf>
    <xf numFmtId="0" fontId="38" fillId="3" borderId="13" applyAlignment="1" pivotButton="0" quotePrefix="0" xfId="22">
      <alignment horizontal="left" vertical="bottom" wrapText="1"/>
    </xf>
    <xf numFmtId="0" fontId="36" fillId="3" borderId="29" applyAlignment="1" pivotButton="0" quotePrefix="0" xfId="22">
      <alignment horizontal="center" vertical="bottom" wrapText="1"/>
    </xf>
    <xf numFmtId="0" fontId="0" fillId="0" borderId="75" pivotButton="0" quotePrefix="0" xfId="0"/>
    <xf numFmtId="0" fontId="38" fillId="3" borderId="29" applyAlignment="1" pivotButton="0" quotePrefix="0" xfId="22">
      <alignment horizontal="left" vertical="bottom" wrapText="1"/>
    </xf>
    <xf numFmtId="0" fontId="37" fillId="3" borderId="25" applyAlignment="1" pivotButton="0" quotePrefix="0" xfId="24">
      <alignment horizontal="center" vertical="center"/>
    </xf>
    <xf numFmtId="0" fontId="37" fillId="3" borderId="2" applyAlignment="1" pivotButton="0" quotePrefix="0" xfId="24">
      <alignment horizontal="center" vertical="center" wrapText="1"/>
    </xf>
    <xf numFmtId="0" fontId="37" fillId="3" borderId="13" applyAlignment="1" pivotButton="0" quotePrefix="0" xfId="24">
      <alignment horizontal="center" vertical="center" wrapText="1"/>
    </xf>
    <xf numFmtId="0" fontId="37" fillId="3" borderId="29" applyAlignment="1" pivotButton="0" quotePrefix="0" xfId="24">
      <alignment horizontal="center" vertical="center" wrapText="1"/>
    </xf>
    <xf numFmtId="0" fontId="36" fillId="3" borderId="30" applyAlignment="1" pivotButton="0" quotePrefix="0" xfId="24">
      <alignment horizontal="center" vertical="center"/>
    </xf>
    <xf numFmtId="0" fontId="0" fillId="0" borderId="76" pivotButton="0" quotePrefix="0" xfId="0"/>
    <xf numFmtId="0" fontId="36" fillId="3" borderId="31" applyAlignment="1" pivotButton="0" quotePrefix="0" xfId="24">
      <alignment horizontal="center" vertical="center"/>
    </xf>
    <xf numFmtId="0" fontId="0" fillId="0" borderId="77" pivotButton="0" quotePrefix="0" xfId="0"/>
    <xf numFmtId="0" fontId="36" fillId="3" borderId="32" applyAlignment="1" pivotButton="0" quotePrefix="0" xfId="24">
      <alignment horizontal="center" vertical="center"/>
    </xf>
    <xf numFmtId="0" fontId="36" fillId="3" borderId="33" applyAlignment="1" pivotButton="0" quotePrefix="0" xfId="24">
      <alignment horizontal="center" vertical="center"/>
    </xf>
    <xf numFmtId="0" fontId="0" fillId="0" borderId="78" pivotButton="0" quotePrefix="0" xfId="0"/>
    <xf numFmtId="0" fontId="36" fillId="0" borderId="34" applyAlignment="1" pivotButton="0" quotePrefix="0" xfId="24">
      <alignment horizontal="general" vertical="bottom"/>
    </xf>
    <xf numFmtId="164" fontId="19" fillId="4" borderId="35" applyAlignment="1" pivotButton="0" quotePrefix="0" xfId="24">
      <alignment horizontal="center" vertical="center"/>
    </xf>
    <xf numFmtId="0" fontId="39" fillId="4" borderId="36" applyAlignment="1" pivotButton="0" quotePrefix="0" xfId="24">
      <alignment horizontal="left" vertical="bottom"/>
    </xf>
    <xf numFmtId="0" fontId="40" fillId="4" borderId="36" applyAlignment="1" pivotButton="0" quotePrefix="0" xfId="24">
      <alignment horizontal="general" vertical="bottom"/>
    </xf>
    <xf numFmtId="0" fontId="40" fillId="4" borderId="36" applyAlignment="1" pivotButton="0" quotePrefix="0" xfId="24">
      <alignment horizontal="right" vertical="bottom"/>
    </xf>
    <xf numFmtId="0" fontId="39" fillId="4" borderId="36" applyAlignment="1" pivotButton="0" quotePrefix="0" xfId="24">
      <alignment horizontal="general" vertical="top" textRotation="180"/>
    </xf>
    <xf numFmtId="0" fontId="39" fillId="4" borderId="37" applyAlignment="1" pivotButton="0" quotePrefix="0" xfId="24">
      <alignment horizontal="general" vertical="top" textRotation="180"/>
    </xf>
    <xf numFmtId="0" fontId="37" fillId="0" borderId="0" applyAlignment="1" pivotButton="0" quotePrefix="0" xfId="24">
      <alignment horizontal="general" vertical="bottom"/>
    </xf>
    <xf numFmtId="0" fontId="39" fillId="4" borderId="38" applyAlignment="1" pivotButton="0" quotePrefix="0" xfId="24">
      <alignment horizontal="general" vertical="center"/>
    </xf>
    <xf numFmtId="0" fontId="37" fillId="3" borderId="39" applyAlignment="1" pivotButton="0" quotePrefix="0" xfId="24">
      <alignment horizontal="left" vertical="top"/>
    </xf>
    <xf numFmtId="0" fontId="36" fillId="3" borderId="27" applyAlignment="1" pivotButton="0" quotePrefix="0" xfId="24">
      <alignment horizontal="center" vertical="top"/>
    </xf>
    <xf numFmtId="0" fontId="36" fillId="3" borderId="40" applyAlignment="1" pivotButton="0" quotePrefix="0" xfId="24">
      <alignment horizontal="right" vertical="top"/>
    </xf>
    <xf numFmtId="0" fontId="38" fillId="6" borderId="0" applyAlignment="1" pivotButton="0" quotePrefix="0" xfId="24">
      <alignment horizontal="right" vertical="bottom"/>
    </xf>
    <xf numFmtId="0" fontId="8" fillId="0" borderId="26" applyAlignment="1" pivotButton="0" quotePrefix="0" xfId="24">
      <alignment horizontal="center" vertical="bottom"/>
    </xf>
    <xf numFmtId="0" fontId="8" fillId="0" borderId="41" applyAlignment="1" pivotButton="0" quotePrefix="0" xfId="24">
      <alignment horizontal="center" vertical="bottom"/>
    </xf>
    <xf numFmtId="0" fontId="39" fillId="4" borderId="42" applyAlignment="1" pivotButton="0" quotePrefix="0" xfId="24">
      <alignment horizontal="general" vertical="center"/>
    </xf>
    <xf numFmtId="0" fontId="37" fillId="3" borderId="1" applyAlignment="1" pivotButton="0" quotePrefix="0" xfId="24">
      <alignment horizontal="left" vertical="top"/>
    </xf>
    <xf numFmtId="0" fontId="36" fillId="3" borderId="13" applyAlignment="1" pivotButton="0" quotePrefix="0" xfId="24">
      <alignment horizontal="center" vertical="top"/>
    </xf>
    <xf numFmtId="0" fontId="36" fillId="3" borderId="3" applyAlignment="1" pivotButton="0" quotePrefix="0" xfId="24">
      <alignment horizontal="right" vertical="top"/>
    </xf>
    <xf numFmtId="0" fontId="8" fillId="0" borderId="2" applyAlignment="1" pivotButton="0" quotePrefix="0" xfId="24">
      <alignment horizontal="center" vertical="bottom"/>
    </xf>
    <xf numFmtId="0" fontId="8" fillId="0" borderId="43" applyAlignment="1" pivotButton="0" quotePrefix="0" xfId="24">
      <alignment horizontal="center" vertical="bottom"/>
    </xf>
    <xf numFmtId="0" fontId="36" fillId="0" borderId="0" applyAlignment="1" pivotButton="0" quotePrefix="0" xfId="24">
      <alignment horizontal="general" vertical="top"/>
    </xf>
    <xf numFmtId="0" fontId="36" fillId="6" borderId="0" applyAlignment="1" pivotButton="0" quotePrefix="0" xfId="24">
      <alignment horizontal="right" vertical="bottom"/>
    </xf>
    <xf numFmtId="0" fontId="37" fillId="0" borderId="0" applyAlignment="1" pivotButton="0" quotePrefix="0" xfId="24">
      <alignment horizontal="center" vertical="bottom"/>
    </xf>
    <xf numFmtId="0" fontId="39" fillId="4" borderId="38" applyAlignment="1" pivotButton="0" quotePrefix="0" xfId="24">
      <alignment horizontal="general" vertical="top"/>
    </xf>
    <xf numFmtId="0" fontId="37" fillId="3" borderId="39" applyAlignment="1" pivotButton="0" quotePrefix="0" xfId="24">
      <alignment horizontal="general" vertical="bottom"/>
    </xf>
    <xf numFmtId="0" fontId="36" fillId="3" borderId="45" applyAlignment="1" pivotButton="0" quotePrefix="0" xfId="24">
      <alignment horizontal="center" vertical="top"/>
    </xf>
    <xf numFmtId="0" fontId="36" fillId="3" borderId="46" applyAlignment="1" pivotButton="0" quotePrefix="0" xfId="24">
      <alignment horizontal="right" vertical="top"/>
    </xf>
    <xf numFmtId="0" fontId="36" fillId="6" borderId="47" applyAlignment="1" pivotButton="0" quotePrefix="0" xfId="24">
      <alignment horizontal="right" vertical="bottom"/>
    </xf>
    <xf numFmtId="0" fontId="8" fillId="0" borderId="48" applyAlignment="1" pivotButton="0" quotePrefix="0" xfId="24">
      <alignment horizontal="center" vertical="bottom"/>
    </xf>
    <xf numFmtId="0" fontId="8" fillId="0" borderId="49" applyAlignment="1" pivotButton="0" quotePrefix="0" xfId="24">
      <alignment horizontal="center" vertical="bottom"/>
    </xf>
    <xf numFmtId="0" fontId="37" fillId="3" borderId="27" applyAlignment="1" pivotButton="0" quotePrefix="0" xfId="24">
      <alignment horizontal="general" vertical="bottom"/>
    </xf>
    <xf numFmtId="0" fontId="36" fillId="3" borderId="3" applyAlignment="1" pivotButton="0" quotePrefix="0" xfId="24">
      <alignment horizontal="right" vertical="bottom"/>
    </xf>
    <xf numFmtId="0" fontId="36" fillId="6" borderId="26" applyAlignment="1" pivotButton="0" quotePrefix="0" xfId="24">
      <alignment horizontal="left" vertical="bottom"/>
    </xf>
    <xf numFmtId="0" fontId="39" fillId="4" borderId="42" applyAlignment="1" pivotButton="0" quotePrefix="0" xfId="24">
      <alignment horizontal="general" vertical="top"/>
    </xf>
    <xf numFmtId="0" fontId="37" fillId="3" borderId="1" applyAlignment="1" pivotButton="0" quotePrefix="0" xfId="24">
      <alignment horizontal="general" vertical="bottom"/>
    </xf>
    <xf numFmtId="0" fontId="36" fillId="3" borderId="13" applyAlignment="1" pivotButton="0" quotePrefix="0" xfId="24">
      <alignment horizontal="general" vertical="bottom"/>
    </xf>
    <xf numFmtId="0" fontId="36" fillId="6" borderId="2" applyAlignment="1" pivotButton="0" quotePrefix="0" xfId="24">
      <alignment horizontal="left" vertical="bottom"/>
    </xf>
    <xf numFmtId="0" fontId="5" fillId="3" borderId="13" applyAlignment="1" pivotButton="0" quotePrefix="0" xfId="24">
      <alignment horizontal="general" vertical="bottom"/>
    </xf>
    <xf numFmtId="0" fontId="36" fillId="6" borderId="2" applyAlignment="1" pivotButton="0" quotePrefix="0" xfId="24">
      <alignment horizontal="general" vertical="bottom"/>
    </xf>
    <xf numFmtId="0" fontId="37" fillId="3" borderId="50" applyAlignment="1" pivotButton="0" quotePrefix="0" xfId="24">
      <alignment horizontal="general" vertical="bottom"/>
    </xf>
    <xf numFmtId="0" fontId="36" fillId="3" borderId="51" applyAlignment="1" pivotButton="0" quotePrefix="0" xfId="24">
      <alignment horizontal="general" vertical="bottom"/>
    </xf>
    <xf numFmtId="0" fontId="36" fillId="6" borderId="53" applyAlignment="1" pivotButton="0" quotePrefix="0" xfId="24">
      <alignment horizontal="left" vertical="bottom"/>
    </xf>
    <xf numFmtId="0" fontId="8" fillId="0" borderId="53" applyAlignment="1" pivotButton="0" quotePrefix="0" xfId="24">
      <alignment horizontal="center" vertical="bottom"/>
    </xf>
    <xf numFmtId="0" fontId="8" fillId="0" borderId="54" applyAlignment="1" pivotButton="0" quotePrefix="0" xfId="24">
      <alignment horizontal="center" vertical="bottom"/>
    </xf>
    <xf numFmtId="0" fontId="36" fillId="0" borderId="55" applyAlignment="1" pivotButton="0" quotePrefix="0" xfId="24">
      <alignment horizontal="left" vertical="bottom"/>
    </xf>
    <xf numFmtId="0" fontId="36" fillId="0" borderId="55" applyAlignment="1" pivotButton="0" quotePrefix="0" xfId="24">
      <alignment horizontal="center" vertical="bottom"/>
    </xf>
    <xf numFmtId="0" fontId="36" fillId="0" borderId="56" applyAlignment="1" pivotButton="0" quotePrefix="0" xfId="24">
      <alignment horizontal="center" vertical="bottom"/>
    </xf>
    <xf numFmtId="0" fontId="36" fillId="0" borderId="2" applyAlignment="1" pivotButton="0" quotePrefix="0" xfId="24">
      <alignment horizontal="left" vertical="bottom"/>
    </xf>
    <xf numFmtId="0" fontId="41" fillId="0" borderId="2" applyAlignment="1" pivotButton="0" quotePrefix="0" xfId="24">
      <alignment horizontal="left" vertical="bottom"/>
    </xf>
    <xf numFmtId="0" fontId="36" fillId="0" borderId="2" applyAlignment="1" pivotButton="0" quotePrefix="0" xfId="24">
      <alignment horizontal="center" vertical="bottom"/>
    </xf>
    <xf numFmtId="0" fontId="36" fillId="0" borderId="43" applyAlignment="1" pivotButton="0" quotePrefix="0" xfId="24">
      <alignment horizontal="center" vertical="bottom"/>
    </xf>
    <xf numFmtId="0" fontId="36" fillId="0" borderId="2" applyAlignment="1" pivotButton="0" quotePrefix="0" xfId="24">
      <alignment horizontal="general" vertical="bottom"/>
    </xf>
    <xf numFmtId="167" fontId="36" fillId="0" borderId="2" applyAlignment="1" pivotButton="0" quotePrefix="0" xfId="24">
      <alignment horizontal="general" vertical="top" textRotation="255"/>
    </xf>
    <xf numFmtId="167" fontId="36" fillId="0" borderId="43" applyAlignment="1" pivotButton="0" quotePrefix="0" xfId="24">
      <alignment horizontal="general" vertical="top" textRotation="255"/>
    </xf>
    <xf numFmtId="0" fontId="39" fillId="4" borderId="57" applyAlignment="1" pivotButton="0" quotePrefix="0" xfId="24">
      <alignment horizontal="general" vertical="top"/>
    </xf>
    <xf numFmtId="0" fontId="36" fillId="0" borderId="48" applyAlignment="1" pivotButton="0" quotePrefix="0" xfId="24">
      <alignment horizontal="general" vertical="bottom"/>
    </xf>
    <xf numFmtId="0" fontId="36" fillId="0" borderId="48" applyAlignment="1" pivotButton="0" quotePrefix="0" xfId="24">
      <alignment horizontal="general" vertical="bottom" textRotation="255"/>
    </xf>
    <xf numFmtId="0" fontId="36" fillId="0" borderId="49" applyAlignment="1" pivotButton="0" quotePrefix="0" xfId="24">
      <alignment horizontal="general" vertical="bottom" textRotation="255"/>
    </xf>
    <xf numFmtId="0" fontId="39" fillId="0" borderId="0" applyAlignment="1" pivotButton="0" quotePrefix="0" xfId="24">
      <alignment horizontal="general" vertical="top"/>
    </xf>
    <xf numFmtId="0" fontId="37" fillId="3" borderId="44" applyAlignment="1" pivotButton="0" quotePrefix="0" xfId="24">
      <alignment horizontal="left" vertical="top"/>
    </xf>
    <xf numFmtId="0" fontId="36" fillId="3" borderId="40" applyAlignment="1" pivotButton="0" quotePrefix="0" xfId="24">
      <alignment horizontal="right" vertical="bottom"/>
    </xf>
    <xf numFmtId="0" fontId="36" fillId="0" borderId="2" applyAlignment="1" pivotButton="0" quotePrefix="0" xfId="24">
      <alignment horizontal="left" vertical="top"/>
    </xf>
    <xf numFmtId="0" fontId="36" fillId="3" borderId="52" applyAlignment="1" pivotButton="0" quotePrefix="0" xfId="24">
      <alignment horizontal="right" vertical="bottom"/>
    </xf>
    <xf numFmtId="0" fontId="36" fillId="0" borderId="48" applyAlignment="1" pivotButton="0" quotePrefix="0" xfId="24">
      <alignment horizontal="left" vertical="top"/>
    </xf>
  </cellXfs>
  <cellStyles count="13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Normal_Functional Test Case v1.0" xfId="7"/>
    <cellStyle name="Normal_Sheet1" xfId="8"/>
    <cellStyle name="Normal_Sheet1_Template_UnitTest Case_v0.9" xfId="9"/>
    <cellStyle name="Normal_Template_UnitTest Case_v0.9" xfId="10"/>
    <cellStyle name="Normal_Template_UnitTest Case_v0.9_Template_UnitTest Case_v0.9" xfId="11"/>
    <cellStyle name="標準_結合試験(AllOvertheWorld)" xfId="12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000000"/>
                </a:solidFill>
                <a:latin typeface="ＭＳ Ｐゴシック"/>
              </a:defRPr>
            </a:pPr>
            <a:r>
              <a:rPr sz="900" b="1" strike="noStrike" spc="-1">
                <a:solidFill>
                  <a:srgbClr val="000000"/>
                </a:solidFill>
                <a:latin typeface="ＭＳ Ｐゴシック"/>
              </a:rPr>
              <a:t>Test Type</a:t>
            </a:r>
          </a:p>
        </rich>
      </tx>
      <layout>
        <manualLayout>
          <xMode val="edge"/>
          <yMode val="edge"/>
          <wMode val="factor"/>
          <hMode val="factor"/>
          <x val="0.419447170428525"/>
          <y val="0.0508964719491035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204857703631011"/>
          <y val="0.278773857721226"/>
          <w val="0.408161596336277"/>
          <h val="0.603672643146327"/>
        </manualLayout>
      </layout>
      <pieChart>
        <varyColors val="1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explosion val="0"/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993366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Pt>
            <idx val="2"/>
            <spPr>
              <a:solidFill xmlns:a="http://schemas.openxmlformats.org/drawingml/2006/main">
                <a:srgbClr val="ffffcc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Lbls>
            <dLbl>
              <idx val="0"/>
              <numFmt formatCode="0%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</dLbl>
            <dLbl>
              <idx val="1"/>
              <numFmt formatCode="0%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</dLbl>
            <dLbl>
              <idx val="2"/>
              <numFmt formatCode="0%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</dLbl>
            <numFmt formatCode="0%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000000"/>
                    </a:solidFill>
                    <a:latin typeface="ＭＳ Ｐゴシック"/>
                  </a:defRPr>
                </a:pPr>
                <a:r>
                  <a:t>None</a:t>
                </a:r>
              </a:p>
            </txPr>
            <dLblPos val="bestFit"/>
            <showLegendKey val="0"/>
            <showVal val="0"/>
            <showCatName val="1"/>
            <showSerName val="0"/>
            <showPercent val="1"/>
            <showLeaderLines val="1"/>
          </dLbls>
          <cat>
            <strRef>
              <f>Statistics!$F$11:$H$11</f>
              <strCache>
                <ptCount val="3"/>
                <pt idx="0">
                  <v>N</v>
                </pt>
                <pt idx="1">
                  <v>A</v>
                </pt>
                <pt idx="2">
                  <v>B</v>
                </pt>
              </strCache>
            </strRef>
          </cat>
          <val>
            <numRef>
              <f>Statistics!$F$17:$H$17</f>
              <numCache>
                <formatCode>General</formatCode>
                <ptCount val="3"/>
                <pt idx="0">
                  <v>35</v>
                </pt>
                <pt idx="1">
                  <v>7</v>
                </pt>
                <pt idx="2">
                  <v>3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explosion val="0"/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993366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Pt>
            <idx val="2"/>
            <spPr>
              <a:solidFill xmlns:a="http://schemas.openxmlformats.org/drawingml/2006/main">
                <a:srgbClr val="ffffcc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000000"/>
                    </a:solidFill>
                    <a:latin typeface="ＭＳ Ｐゴシック"/>
                  </a:defRPr>
                </a:pPr>
                <a:r>
                  <a:t>None</a:t>
                </a:r>
              </a:p>
            </txPr>
            <dLblPos val="bestFit"/>
            <showLegendKey val="0"/>
            <showVal val="1"/>
            <showCatName val="1"/>
            <showSerName val="0"/>
            <showPercent val="0"/>
            <showLeaderLines val="1"/>
          </dLbls>
          <cat>
            <strRef>
              <f>Statistics!$F$11:$H$11</f>
              <strCache>
                <ptCount val="3"/>
                <pt idx="0">
                  <v>N</v>
                </pt>
                <pt idx="1">
                  <v>A</v>
                </pt>
                <pt idx="2">
                  <v>B</v>
                </pt>
              </strCache>
            </strRef>
          </cat>
          <val>
            <numRef>
              <f>Statistics!$F$16:$H$16</f>
              <numCache>
                <formatCode>General</formatCode>
                <ptCount val="3"/>
              </numCache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explosion val="0"/>
          <cat>
            <strRef>
              <f>Statistics!$F$11:$H$11</f>
              <strCache>
                <ptCount val="3"/>
                <pt idx="0">
                  <v>N</v>
                </pt>
                <pt idx="1">
                  <v>A</v>
                </pt>
                <pt idx="2">
                  <v>B</v>
                </pt>
              </strCache>
            </strRef>
          </cat>
        </ser>
        <ser>
          <idx val="3"/>
          <order val="3"/>
          <spPr>
            <a:solidFill xmlns:a="http://schemas.openxmlformats.org/drawingml/2006/main">
              <a:srgbClr val="ccffff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explosion val="0"/>
          <cat>
            <strRef>
              <f>Statistics!$F$11:$H$11</f>
              <strCache>
                <ptCount val="3"/>
                <pt idx="0">
                  <v>N</v>
                </pt>
                <pt idx="1">
                  <v>A</v>
                </pt>
                <pt idx="2">
                  <v>B</v>
                </pt>
              </strCache>
            </strRef>
          </cat>
        </ser>
        <ser>
          <idx val="4"/>
          <order val="4"/>
          <spPr>
            <a:solidFill xmlns:a="http://schemas.openxmlformats.org/drawingml/2006/main">
              <a:srgbClr val="660066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explosion val="0"/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993366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Pt>
            <idx val="2"/>
            <spPr>
              <a:solidFill xmlns:a="http://schemas.openxmlformats.org/drawingml/2006/main">
                <a:srgbClr val="ffffcc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000000"/>
                    </a:solidFill>
                    <a:latin typeface="ＭＳ Ｐゴシック"/>
                  </a:defRPr>
                </a:pPr>
                <a:r>
                  <a:t>None</a:t>
                </a:r>
              </a:p>
            </txPr>
            <dLblPos val="bestFit"/>
            <showLegendKey val="0"/>
            <showVal val="1"/>
            <showCatName val="1"/>
            <showSerName val="0"/>
            <showPercent val="0"/>
            <showLeaderLines val="1"/>
          </dLbls>
          <cat>
            <strRef>
              <f>Statistics!$F$11:$H$11</f>
              <strCache>
                <ptCount val="3"/>
                <pt idx="0">
                  <v>N</v>
                </pt>
                <pt idx="1">
                  <v>A</v>
                </pt>
                <pt idx="2">
                  <v>B</v>
                </pt>
              </strCache>
            </strRef>
          </cat>
          <val>
            <numRef>
              <f>Statistics!$F$17:$H$17</f>
              <numCache>
                <formatCode>General</formatCode>
                <ptCount val="3"/>
                <pt idx="0">
                  <v>35</v>
                </pt>
                <pt idx="1">
                  <v>7</v>
                </pt>
                <pt idx="2">
                  <v>3</v>
                </pt>
              </numCache>
            </numRef>
          </val>
        </ser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7984952567876999"/>
          <y val="0.394736842105263"/>
          <w val="0.07212953876349359"/>
          <h val="0.306101792943898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690" b="0" strike="noStrike" spc="-1">
              <a:solidFill>
                <a:srgbClr val="000000"/>
              </a:solidFill>
              <a:latin typeface="ＭＳ Ｐゴシック"/>
            </a:defRPr>
          </a:pPr>
          <a:r>
            <a:t>None</a:t>
          </a:r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0">
      <a:solidFill>
        <a:srgbClr val="000000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100" b="1" strike="noStrike" spc="-1">
                <a:solidFill>
                  <a:srgbClr val="000000"/>
                </a:solidFill>
                <a:latin typeface="ＭＳ Ｐゴシック"/>
              </a:defRPr>
            </a:pPr>
            <a:r>
              <a:rPr sz="1100" b="1" strike="noStrike" spc="-1">
                <a:solidFill>
                  <a:srgbClr val="000000"/>
                </a:solidFill>
                <a:latin typeface="ＭＳ Ｐゴシック"/>
              </a:rPr>
              <a:t>Passed Percent</a:t>
            </a:r>
          </a:p>
        </rich>
      </tx>
      <layout>
        <manualLayout>
          <xMode val="edge"/>
          <yMode val="edge"/>
          <wMode val="factor"/>
          <hMode val="factor"/>
          <x val="0.364832963731311"/>
          <y val="0.0519823788546256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233421560912798"/>
          <y val="0.290895741556535"/>
          <w val="0.351026539809715"/>
          <h val="0.601762114537445"/>
        </manualLayout>
      </layout>
      <pieChart>
        <varyColors val="1"/>
        <ser>
          <idx val="0"/>
          <order val="0"/>
          <spPr>
            <a:solidFill xmlns:a="http://schemas.openxmlformats.org/drawingml/2006/main">
              <a:srgbClr val="9999ff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explosion val="0"/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993366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Pt>
            <idx val="2"/>
            <spPr>
              <a:solidFill xmlns:a="http://schemas.openxmlformats.org/drawingml/2006/main">
                <a:srgbClr val="ffffcc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Lbls>
            <dLbl>
              <idx val="0"/>
              <numFmt formatCode="0%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</dLbl>
            <dLbl>
              <idx val="1"/>
              <numFmt formatCode="0%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</dLbl>
            <dLbl>
              <idx val="2"/>
              <numFmt formatCode="0%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</dLbl>
            <numFmt formatCode="0%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000000"/>
                    </a:solidFill>
                    <a:latin typeface="ＭＳ Ｐゴシック"/>
                  </a:defRPr>
                </a:pPr>
                <a:r>
                  <a:t>None</a:t>
                </a:r>
              </a:p>
            </txPr>
            <dLblPos val="bestFit"/>
            <showLegendKey val="0"/>
            <showVal val="0"/>
            <showCatName val="1"/>
            <showSerName val="0"/>
            <showPercent val="1"/>
            <showLeaderLines val="1"/>
          </dLbls>
          <cat>
            <strRef>
              <f>Statistics!$C$11:$E$11</f>
              <strCache>
                <ptCount val="3"/>
                <pt idx="0">
                  <v>Passed</v>
                </pt>
                <pt idx="1">
                  <v>Failed</v>
                </pt>
                <pt idx="2">
                  <v>Untested</v>
                </pt>
              </strCache>
            </strRef>
          </cat>
          <val>
            <numRef>
              <f>Statistics!$C$17:$E$17</f>
              <numCache>
                <formatCode>General</formatCode>
                <ptCount val="3"/>
                <pt idx="0">
                  <v>36</v>
                </pt>
                <pt idx="1">
                  <v>7</v>
                </pt>
                <pt idx="2">
                  <v>2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993366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explosion val="0"/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993366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Pt>
            <idx val="2"/>
            <spPr>
              <a:solidFill xmlns:a="http://schemas.openxmlformats.org/drawingml/2006/main">
                <a:srgbClr val="ffffcc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Lbls>
            <dLbl>
              <idx val="0"/>
              <numFmt formatCode="0%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1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</dLbl>
            <dLbl>
              <idx val="1"/>
              <numFmt formatCode="0%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1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</dLbl>
            <dLbl>
              <idx val="2"/>
              <numFmt formatCode="0%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1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</dLbl>
            <numFmt formatCode="0%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 b="0" strike="noStrike" spc="-1">
                    <a:solidFill>
                      <a:srgbClr val="000000"/>
                    </a:solidFill>
                    <a:latin typeface="ＭＳ Ｐゴシック"/>
                  </a:defRPr>
                </a:pPr>
                <a:r>
                  <a:t>None</a:t>
                </a:r>
              </a:p>
            </txPr>
            <dLblPos val="bestFit"/>
            <showLegendKey val="0"/>
            <showVal val="0"/>
            <showCatName val="1"/>
            <showSerName val="0"/>
            <showPercent val="1"/>
            <showLeaderLines val="1"/>
          </dLbls>
          <cat>
            <strRef>
              <f>Statistics!$C$11:$E$11</f>
              <strCache>
                <ptCount val="3"/>
                <pt idx="0">
                  <v>Passed</v>
                </pt>
                <pt idx="1">
                  <v>Failed</v>
                </pt>
                <pt idx="2">
                  <v>Untested</v>
                </pt>
              </strCache>
            </strRef>
          </cat>
          <val>
            <numRef>
              <f>Statistics!$C$16:$E$16</f>
              <numCache>
                <formatCode>General</formatCode>
                <ptCount val="3"/>
              </numCache>
            </numRef>
          </val>
        </ser>
        <ser>
          <idx val="2"/>
          <order val="2"/>
          <spPr>
            <a:solidFill xmlns:a="http://schemas.openxmlformats.org/drawingml/2006/main">
              <a:srgbClr val="ffffcc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explosion val="0"/>
          <cat>
            <strRef>
              <f>Statistics!$C$11:$E$11</f>
              <strCache>
                <ptCount val="3"/>
                <pt idx="0">
                  <v>Passed</v>
                </pt>
                <pt idx="1">
                  <v>Failed</v>
                </pt>
                <pt idx="2">
                  <v>Untested</v>
                </pt>
              </strCache>
            </strRef>
          </cat>
        </ser>
        <ser>
          <idx val="3"/>
          <order val="3"/>
          <spPr>
            <a:solidFill xmlns:a="http://schemas.openxmlformats.org/drawingml/2006/main">
              <a:srgbClr val="ccffff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explosion val="0"/>
          <cat>
            <strRef>
              <f>Statistics!$C$11:$E$11</f>
              <strCache>
                <ptCount val="3"/>
                <pt idx="0">
                  <v>Passed</v>
                </pt>
                <pt idx="1">
                  <v>Failed</v>
                </pt>
                <pt idx="2">
                  <v>Untested</v>
                </pt>
              </strCache>
            </strRef>
          </cat>
        </ser>
        <ser>
          <idx val="4"/>
          <order val="4"/>
          <spPr>
            <a:solidFill xmlns:a="http://schemas.openxmlformats.org/drawingml/2006/main">
              <a:srgbClr val="660066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explosion val="0"/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Pt>
            <idx val="1"/>
            <spPr>
              <a:solidFill xmlns:a="http://schemas.openxmlformats.org/drawingml/2006/main">
                <a:srgbClr val="993366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Pt>
            <idx val="2"/>
            <spPr>
              <a:solidFill xmlns:a="http://schemas.openxmlformats.org/drawingml/2006/main">
                <a:srgbClr val="ffffcc"/>
              </a:solidFill>
              <a:ln xmlns:a="http://schemas.openxmlformats.org/drawingml/2006/main" w="12600">
                <a:solidFill>
                  <a:srgbClr val="000000"/>
                </a:solidFill>
                <a:prstDash val="solid"/>
                <a:round/>
              </a:ln>
            </spPr>
          </dPt>
          <dLbls>
            <dLbl>
              <idx val="0"/>
              <numFmt formatCode="0%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1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</dLbl>
            <dLbl>
              <idx val="1"/>
              <numFmt formatCode="0%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1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</dLbl>
            <dLbl>
              <idx val="2"/>
              <numFmt formatCode="0%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100" b="0" strike="noStrike" spc="-1">
                      <a:solidFill>
                        <a:srgbClr val="000000"/>
                      </a:solidFill>
                      <a:latin typeface="ＭＳ Ｐゴシック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1"/>
              <showSerName val="0"/>
              <showPercent val="1"/>
            </dLbl>
            <numFmt formatCode="0%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 b="0" strike="noStrike" spc="-1">
                    <a:solidFill>
                      <a:srgbClr val="000000"/>
                    </a:solidFill>
                    <a:latin typeface="ＭＳ Ｐゴシック"/>
                  </a:defRPr>
                </a:pPr>
                <a:r>
                  <a:t>None</a:t>
                </a:r>
              </a:p>
            </txPr>
            <dLblPos val="bestFit"/>
            <showLegendKey val="0"/>
            <showVal val="0"/>
            <showCatName val="1"/>
            <showSerName val="0"/>
            <showPercent val="1"/>
            <showLeaderLines val="1"/>
          </dLbls>
          <cat>
            <strRef>
              <f>Statistics!$C$11:$E$11</f>
              <strCache>
                <ptCount val="3"/>
                <pt idx="0">
                  <v>Passed</v>
                </pt>
                <pt idx="1">
                  <v>Failed</v>
                </pt>
                <pt idx="2">
                  <v>Untested</v>
                </pt>
              </strCache>
            </strRef>
          </cat>
          <val>
            <numRef>
              <f>Statistics!$C$17:$E$17</f>
              <numCache>
                <formatCode>General</formatCode>
                <ptCount val="3"/>
                <pt idx="0">
                  <v>36</v>
                </pt>
                <pt idx="1">
                  <v>7</v>
                </pt>
                <pt idx="2">
                  <v>2</v>
                </pt>
              </numCache>
            </numRef>
          </val>
        </ser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7762357822447959"/>
          <y val="0.430102790014684"/>
          <w val="0.161528006295157"/>
          <h val="0.290161527165932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50" b="0" strike="noStrike" spc="-1">
              <a:solidFill>
                <a:srgbClr val="000000"/>
              </a:solidFill>
              <a:latin typeface="ＭＳ Ｐゴシック"/>
            </a:defRPr>
          </a:pPr>
          <a:r>
            <a:t>None</a:t>
          </a:r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0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5" authorId="0" shapeId="0">
      <text>
        <t xml:space="preserve">Not mandatory
</t>
      </text>
    </comment>
    <comment ref="C10" authorId="0" shapeId="0">
      <text>
        <t>Not mandatory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5" authorId="0" shapeId="0">
      <text>
        <t xml:space="preserve">Not mandatory
</t>
      </text>
    </comment>
    <comment ref="C10" authorId="0" shapeId="0">
      <text>
        <t>Not mandatory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A5" authorId="0" shapeId="0">
      <text>
        <t xml:space="preserve">Not mandatory
</t>
      </text>
    </comment>
    <comment ref="C10" authorId="0" shapeId="0">
      <text>
        <t>Not mandatory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A5" authorId="0" shapeId="0">
      <text>
        <t xml:space="preserve">Not mandatory
</t>
      </text>
    </comment>
    <comment ref="C10" authorId="0" shapeId="0">
      <text>
        <t>Not mandatory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A5" authorId="0" shapeId="0">
      <text>
        <t xml:space="preserve">Not mandatory
</t>
      </text>
    </comment>
    <comment ref="C10" authorId="0" shapeId="0">
      <text>
        <t>Not mandatory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90000</rowOff>
    </from>
    <to>
      <col>0</col>
      <colOff>2526480</colOff>
      <row>1</row>
      <rowOff>789120</rowOff>
    </to>
    <pic>
      <nvPicPr>
        <cNvPr id="0" name="Pictur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255240"/>
          <a:ext cx="2526480" cy="6991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645120</colOff>
      <row>24</row>
      <rowOff>0</rowOff>
    </from>
    <to>
      <col>9</col>
      <colOff>2880</colOff>
      <row>39</row>
      <rowOff>12960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135000</colOff>
      <row>24</row>
      <rowOff>25200</rowOff>
    </from>
    <to>
      <col>3</col>
      <colOff>285840</colOff>
      <row>38</row>
      <rowOff>164880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D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609375" defaultRowHeight="14" zeroHeight="0" outlineLevelRow="0"/>
  <cols>
    <col width="119.32" customWidth="1" style="349" min="1" max="1"/>
    <col width="8.99" customWidth="1" style="349" min="2" max="257"/>
  </cols>
  <sheetData>
    <row r="1" ht="23" customFormat="1" customHeight="1" s="350">
      <c r="A1" s="351" t="inlineStr">
        <is>
          <t>Guideline to make and understand Unit Test Case</t>
        </is>
      </c>
    </row>
    <row r="2" ht="23" customFormat="1" customHeight="1" s="350">
      <c r="A2" s="351" t="n"/>
    </row>
    <row r="3" ht="18" customFormat="1" customHeight="1" s="352">
      <c r="A3" s="353" t="inlineStr">
        <is>
          <t>1. Overview</t>
        </is>
      </c>
    </row>
    <row r="4" ht="15" customHeight="1" s="354">
      <c r="A4" s="355" t="inlineStr">
        <is>
          <t xml:space="preserve"> - In the template, Unit test cases are based on functions. Each sheet presents test cases for one function.</t>
        </is>
      </c>
    </row>
    <row r="5" ht="15" customHeight="1" s="354">
      <c r="A5" s="355" t="inlineStr">
        <is>
          <t xml:space="preserve"> - Cover: General information of the project and Unit Test cases</t>
        </is>
      </c>
    </row>
    <row r="6" ht="42" customHeight="1" s="354">
      <c r="A6" s="356" t="inlineStr">
        <is>
          <t xml:space="preserve"> - FunctionList: The list of Classes and Functions in the document. 
     + To control that the number of Unit TC meets customer's requirement or the norm, user should fill value for  
     'Normal number of Test cases/KLOC'. </t>
        </is>
      </c>
    </row>
    <row r="7" ht="29.25" customHeight="1" s="354">
      <c r="A7" s="356" t="inlineStr">
        <is>
          <t xml:space="preserve">     + Click on Function link to open the related Test cases of the function.  
     Note: You should create new Function sheet before creating the link</t>
        </is>
      </c>
    </row>
    <row r="8" ht="30" customHeight="1" s="354">
      <c r="A8" s="357" t="inlineStr">
        <is>
          <t xml:space="preserve"> - Test Report: provive the overview results of Functions Unit test: Test coverage, Test successful coverage 
    (Summary, for normal/abnormal/boundary cases)</t>
        </is>
      </c>
    </row>
    <row r="9" ht="16.5" customFormat="1" customHeight="1" s="358">
      <c r="A9" s="359" t="inlineStr">
        <is>
          <t xml:space="preserve">     Note:  Should check the formula of "Sub Total" if you add more functions</t>
        </is>
      </c>
    </row>
    <row r="10" ht="16.5" customHeight="1" s="354">
      <c r="A10" s="360" t="n"/>
    </row>
    <row r="11" ht="18" customFormat="1" customHeight="1" s="352">
      <c r="A11" s="353" t="inlineStr">
        <is>
          <t>2. Content in Test function sheet</t>
        </is>
      </c>
    </row>
    <row r="12" ht="15" customFormat="1" customHeight="1" s="361">
      <c r="A12" s="362" t="inlineStr">
        <is>
          <t>2.1 Combination of test cases.</t>
        </is>
      </c>
    </row>
    <row r="13" ht="28" customHeight="1" s="354">
      <c r="A13" s="355" t="inlineStr">
        <is>
      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      </is>
      </c>
    </row>
    <row r="14" ht="14" customHeight="1" s="354">
      <c r="A14" s="355" t="inlineStr">
        <is>
          <t xml:space="preserve"> - If the number of Unit TC does not meet the requirement, creator should explain the reasons.</t>
        </is>
      </c>
    </row>
    <row r="15" ht="14" customHeight="1" s="354">
      <c r="A15" s="356" t="inlineStr">
        <is>
          <t xml:space="preserve"> - If the number of  'Normal number test cases/KLOC' item in FunctionList sheet is not recorded, the number in 'Lack of test cases' is not calculated.</t>
        </is>
      </c>
    </row>
    <row r="16" ht="14" customHeight="1" s="354">
      <c r="A16" s="360" t="n"/>
    </row>
    <row r="17" ht="15" customFormat="1" customHeight="1" s="361">
      <c r="A17" s="362" t="inlineStr">
        <is>
          <t xml:space="preserve"> 2.2 Condition and confirmation of Test cases.</t>
        </is>
      </c>
    </row>
    <row r="18" ht="14" customHeight="1" s="354">
      <c r="A18" s="355" t="inlineStr">
        <is>
          <t xml:space="preserve"> Each test case is the combination of condition and confirmation.</t>
        </is>
      </c>
      <c r="B18" s="360" t="n"/>
    </row>
    <row r="19" ht="14" customHeight="1" s="354">
      <c r="A19" s="362" t="inlineStr">
        <is>
          <t>a. Condition:</t>
        </is>
      </c>
    </row>
    <row r="20" ht="14" customHeight="1" s="354">
      <c r="A20" s="355" t="inlineStr">
        <is>
          <t xml:space="preserve">        - Condition is combination of precondition and values of inputs.</t>
        </is>
      </c>
      <c r="B20" s="360" t="n"/>
    </row>
    <row r="21" ht="28" customHeight="1" s="354">
      <c r="A21" s="356" t="inlineStr">
        <is>
          <t xml:space="preserve">        - Precondition: it is setting condition that must exist before execution of the test case. 
                    Example: file A is precondition for the test case that needs to access file A.</t>
        </is>
      </c>
    </row>
    <row r="22" ht="14" customHeight="1" s="354">
      <c r="A22" s="355" t="inlineStr">
        <is>
          <t xml:space="preserve">        - Values of inputs: it includes 3 types of values: normal, boundary and abnormal.</t>
        </is>
      </c>
      <c r="B22" s="360" t="n"/>
    </row>
    <row r="23" ht="14" customHeight="1" s="354">
      <c r="A23" s="355" t="inlineStr">
        <is>
          <t xml:space="preserve">                . Normal values are values of inputs used mainly and usually to ensure the function works.</t>
        </is>
      </c>
      <c r="B23" s="360" t="n"/>
    </row>
    <row r="24" ht="14" customHeight="1" s="354">
      <c r="A24" s="355" t="inlineStr">
        <is>
          <t xml:space="preserve">                . Boundary values are limited values that contain upper and lower values.</t>
        </is>
      </c>
      <c r="B24" s="360" t="n"/>
    </row>
    <row r="25" ht="15" customHeight="1" s="354">
      <c r="A25" s="355" t="inlineStr">
        <is>
          <t xml:space="preserve">                . Abnormal values are non-expected values. And normally it processes exception cases.   </t>
        </is>
      </c>
      <c r="B25" s="360" t="n"/>
      <c r="C25" s="360" t="inlineStr">
        <is>
          <t xml:space="preserve"> </t>
        </is>
      </c>
      <c r="D25" s="360" t="inlineStr">
        <is>
          <t xml:space="preserve"> </t>
        </is>
      </c>
    </row>
    <row r="26" ht="14" customHeight="1" s="354">
      <c r="A26" s="355" t="inlineStr">
        <is>
          <t xml:space="preserve">        - For examples:</t>
        </is>
      </c>
    </row>
    <row r="27" ht="14" customHeight="1" s="354">
      <c r="A27" s="355" t="inlineStr">
        <is>
          <t xml:space="preserve">            Input value belongs to 5&lt;= input &lt;=10.</t>
        </is>
      </c>
      <c r="B27" s="360" t="n"/>
    </row>
    <row r="28" ht="14" customHeight="1" s="354">
      <c r="A28" s="355" t="inlineStr">
        <is>
          <t xml:space="preserve">               . 6,7,8,9 are normal values.</t>
        </is>
      </c>
    </row>
    <row r="29" ht="14" customHeight="1" s="354">
      <c r="A29" s="355" t="inlineStr">
        <is>
          <t xml:space="preserve">               . 5, 10 are boundary values.</t>
        </is>
      </c>
    </row>
    <row r="30" ht="15" customHeight="1" s="354">
      <c r="A30" s="355" t="inlineStr">
        <is>
          <t xml:space="preserve">               . -1, 11,... are abnormal values.   </t>
        </is>
      </c>
      <c r="B30" s="360" t="n"/>
      <c r="C30" s="360" t="inlineStr">
        <is>
          <t xml:space="preserve"> </t>
        </is>
      </c>
    </row>
    <row r="31" ht="14" customHeight="1" s="354">
      <c r="A31" s="362" t="inlineStr">
        <is>
          <t xml:space="preserve">b. Confirmation: </t>
        </is>
      </c>
    </row>
    <row r="32" ht="30" customHeight="1" s="354">
      <c r="A32" s="356" t="inlineStr">
        <is>
          <t xml:space="preserve">        - It is combination of expected result to check output of each function. 
          If the results are the same with confirmation, the test case is passed, other case it is failed. </t>
        </is>
      </c>
    </row>
    <row r="33" ht="14" customHeight="1" s="354">
      <c r="A33" s="355" t="inlineStr">
        <is>
          <t xml:space="preserve">        - Confirmation can include:</t>
        </is>
      </c>
    </row>
    <row r="34" ht="14" customHeight="1" s="354">
      <c r="A34" s="355" t="inlineStr">
        <is>
          <t xml:space="preserve">                + Output result of the function.</t>
        </is>
      </c>
    </row>
    <row r="35" ht="14" customHeight="1" s="354">
      <c r="A35" s="355" t="inlineStr">
        <is>
          <t xml:space="preserve">                + Output log messages in log file.</t>
        </is>
      </c>
      <c r="B35" s="360" t="n"/>
    </row>
    <row r="36" ht="14" customHeight="1" s="354">
      <c r="A36" s="355" t="inlineStr">
        <is>
          <t xml:space="preserve">                + Output screen message...</t>
        </is>
      </c>
      <c r="B36" s="360" t="n"/>
    </row>
    <row r="37" ht="14" customHeight="1" s="354">
      <c r="A37" s="362" t="inlineStr">
        <is>
          <t>c. Type of test cases and result:</t>
        </is>
      </c>
    </row>
    <row r="38" ht="14" customHeight="1" s="354">
      <c r="A38" s="355" t="inlineStr">
        <is>
          <t xml:space="preserve">        - Type of test case: It includes normal, boundary and abnormal test cases. User selects the type based on the type of input data.</t>
        </is>
      </c>
    </row>
    <row r="39" ht="42" customHeight="1" s="354">
      <c r="A39" s="357" t="inlineStr">
        <is>
          <t xml:space="preserve">        - Test case result: the actual output results comparing with the Confirmation.
                 P for Passed and F for Failed cases.
          It can 'OK' or 'NG' (it depends on habit of the teams or customers)</t>
        </is>
      </c>
      <c r="B39" s="360" t="n"/>
    </row>
    <row r="40" ht="14" customHeight="1" s="354">
      <c r="A40" s="357" t="n"/>
      <c r="B40" s="360" t="n"/>
    </row>
    <row r="41" ht="15" customFormat="1" customHeight="1" s="361">
      <c r="A41" s="362" t="inlineStr">
        <is>
          <t xml:space="preserve"> 2.3. Other items:</t>
        </is>
      </c>
    </row>
    <row r="42" ht="14" customHeight="1" s="354">
      <c r="A42" s="355" t="inlineStr">
        <is>
          <t xml:space="preserve"> - Function Code: it is ID of the function and updated automatically according to FunctionList sheet.</t>
        </is>
      </c>
    </row>
    <row r="43" ht="14" customHeight="1" s="354">
      <c r="A43" s="355" t="inlineStr">
        <is>
          <t xml:space="preserve"> - Function Name: it is name  of the function and updated automatically according to FunctionList sheet.</t>
        </is>
      </c>
    </row>
    <row r="44" ht="14" customHeight="1" s="354">
      <c r="A44" s="355" t="inlineStr">
        <is>
          <t xml:space="preserve"> - Created By: Name of creator.</t>
        </is>
      </c>
    </row>
    <row r="45" ht="14" customHeight="1" s="354">
      <c r="A45" s="355" t="inlineStr">
        <is>
          <t xml:space="preserve"> - Executed By: Name of person who executes the unit test</t>
        </is>
      </c>
    </row>
    <row r="46" ht="14" customHeight="1" s="354">
      <c r="A46" s="355" t="inlineStr">
        <is>
          <t xml:space="preserve"> - Lines of code: Number of Code line of the function.</t>
        </is>
      </c>
    </row>
    <row r="47" ht="14" customHeight="1" s="354">
      <c r="A47" s="355" t="inlineStr">
        <is>
          <t xml:space="preserve"> - Test requirement: Brief description about requirements which are tested in this function, it is not mandatory.</t>
        </is>
      </c>
    </row>
    <row r="48" ht="15" customHeight="1" s="354">
      <c r="A48" s="360" t="inlineStr">
        <is>
          <t xml:space="preserve">         </t>
        </is>
      </c>
    </row>
    <row r="49" ht="14" customHeight="1" s="354">
      <c r="A49" s="360" t="n"/>
    </row>
  </sheetData>
  <printOptions horizontalCentered="0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2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2" activeCellId="0" sqref="E22"/>
    </sheetView>
  </sheetViews>
  <sheetFormatPr baseColWidth="8" defaultColWidth="8.99609375" defaultRowHeight="13" zeroHeight="0" outlineLevelRow="0"/>
  <cols>
    <col width="28.15" customWidth="1" style="363" min="1" max="1"/>
    <col width="9.99" customWidth="1" style="364" min="2" max="2"/>
    <col width="14.32" customWidth="1" style="364" min="3" max="3"/>
    <col width="7.99" customWidth="1" style="364" min="4" max="4"/>
    <col width="37.99" customWidth="1" style="364" min="5" max="5"/>
    <col width="48.15" customWidth="1" style="364" min="6" max="6"/>
    <col width="8.99" customWidth="1" style="364" min="7" max="257"/>
  </cols>
  <sheetData>
    <row r="2" ht="75.75" customFormat="1" customHeight="1" s="365">
      <c r="A2" s="366" t="n"/>
      <c r="B2" s="367" t="inlineStr">
        <is>
          <t>UNIT TEST DOCUMENT</t>
        </is>
      </c>
      <c r="C2" s="368" t="n"/>
      <c r="D2" s="368" t="n"/>
      <c r="E2" s="368" t="n"/>
      <c r="F2" s="369" t="n"/>
    </row>
    <row r="3" ht="13" customHeight="1" s="354">
      <c r="A3" s="370" t="n"/>
      <c r="B3" s="371" t="n"/>
      <c r="E3" s="372" t="n"/>
    </row>
    <row r="4" ht="14.25" customHeight="1" s="354">
      <c r="A4" s="373" t="inlineStr">
        <is>
          <t>Project Name</t>
        </is>
      </c>
      <c r="B4" s="374" t="inlineStr">
        <is>
          <t>Develop an AI-Assisted Omnichannel Order Fulfillment and Packaging Optimization System (OptiPack AI)</t>
        </is>
      </c>
      <c r="C4" s="368" t="n"/>
      <c r="D4" s="369" t="n"/>
      <c r="E4" s="373" t="inlineStr">
        <is>
          <t>Creator</t>
        </is>
      </c>
      <c r="F4" s="375" t="inlineStr">
        <is>
          <t>Nguyễn Phương Mỹ Thuận</t>
        </is>
      </c>
    </row>
    <row r="5" ht="14.25" customHeight="1" s="354">
      <c r="A5" s="373" t="inlineStr">
        <is>
          <t>Project Code</t>
        </is>
      </c>
      <c r="B5" s="374" t="inlineStr">
        <is>
          <t>FA26SE036</t>
        </is>
      </c>
      <c r="C5" s="368" t="n"/>
      <c r="D5" s="369" t="n"/>
      <c r="E5" s="373" t="inlineStr">
        <is>
          <t>Issue Date</t>
        </is>
      </c>
      <c r="F5" s="376" t="inlineStr">
        <is>
          <t>25/10/2026</t>
        </is>
      </c>
    </row>
    <row r="6" ht="15.75" customHeight="1" s="354">
      <c r="A6" s="377" t="inlineStr">
        <is>
          <t>Document Code</t>
        </is>
      </c>
      <c r="B6" s="378">
        <f>B5&amp;"_"&amp;"Unit Test"&amp;"_"&amp;"v1.0"</f>
        <v/>
      </c>
      <c r="C6" s="368" t="n"/>
      <c r="D6" s="369" t="n"/>
      <c r="E6" s="373" t="inlineStr">
        <is>
          <t>Version</t>
        </is>
      </c>
      <c r="F6" s="379" t="inlineStr">
        <is>
          <t>1.0</t>
        </is>
      </c>
    </row>
    <row r="7" ht="13" customHeight="1" s="354">
      <c r="A7" s="380" t="n"/>
      <c r="B7" s="381" t="n"/>
      <c r="C7" s="364" t="n"/>
      <c r="D7" s="364" t="n"/>
      <c r="E7" s="382" t="n"/>
      <c r="F7" s="371" t="n"/>
    </row>
    <row r="8" ht="13" customHeight="1" s="354">
      <c r="A8" s="364" t="n"/>
      <c r="B8" s="364" t="n"/>
      <c r="C8" s="364" t="n"/>
      <c r="D8" s="364" t="n"/>
      <c r="E8" s="364" t="n"/>
    </row>
    <row r="9" ht="13" customHeight="1" s="354">
      <c r="A9" s="383" t="inlineStr">
        <is>
          <t>Record of change</t>
        </is>
      </c>
    </row>
    <row r="10" ht="13" customFormat="1" customHeight="1" s="384">
      <c r="A10" s="385" t="inlineStr">
        <is>
          <t>Effective Date</t>
        </is>
      </c>
      <c r="B10" s="386" t="inlineStr">
        <is>
          <t>Version</t>
        </is>
      </c>
      <c r="C10" s="386" t="inlineStr">
        <is>
          <t>Change Item</t>
        </is>
      </c>
      <c r="D10" s="386" t="inlineStr">
        <is>
          <t>*A,D,M</t>
        </is>
      </c>
      <c r="E10" s="386" t="inlineStr">
        <is>
          <t>Change description</t>
        </is>
      </c>
      <c r="F10" s="387" t="inlineStr">
        <is>
          <t>Reference</t>
        </is>
      </c>
    </row>
    <row r="11" ht="26.25" customFormat="1" customHeight="1" s="388">
      <c r="A11" s="389" t="inlineStr">
        <is>
          <t>25/10/2026</t>
        </is>
      </c>
      <c r="B11" s="390" t="inlineStr">
        <is>
          <t>1.0</t>
        </is>
      </c>
      <c r="C11" s="391" t="inlineStr">
        <is>
          <t>Whole document</t>
        </is>
      </c>
      <c r="D11" s="391" t="inlineStr">
        <is>
          <t>A</t>
        </is>
      </c>
      <c r="E11" s="392" t="inlineStr">
        <is>
          <t>Unit test cases of 5 core back-end functions, mapped to the Jest tests that run in CI on tag review-2</t>
        </is>
      </c>
      <c r="F11" s="393" t="inlineStr">
        <is>
          <t>Report 3 (SRS), Report 4 (SDD), Report5_Test_Report.xlsx</t>
        </is>
      </c>
    </row>
    <row r="12" ht="21.75" customFormat="1" customHeight="1" s="388">
      <c r="A12" s="394" t="n"/>
      <c r="B12" s="390" t="n"/>
      <c r="C12" s="391" t="n"/>
      <c r="D12" s="391" t="n"/>
      <c r="E12" s="391" t="n"/>
      <c r="F12" s="395" t="n"/>
    </row>
    <row r="13" ht="19.5" customFormat="1" customHeight="1" s="388">
      <c r="A13" s="394" t="n"/>
      <c r="B13" s="390" t="n"/>
      <c r="C13" s="391" t="n"/>
      <c r="D13" s="391" t="n"/>
      <c r="E13" s="391" t="n"/>
      <c r="F13" s="395" t="n"/>
    </row>
    <row r="14" ht="21.75" customFormat="1" customHeight="1" s="388">
      <c r="A14" s="394" t="n"/>
      <c r="B14" s="390" t="n"/>
      <c r="C14" s="391" t="n"/>
      <c r="D14" s="391" t="n"/>
      <c r="E14" s="391" t="n"/>
      <c r="F14" s="395" t="n"/>
    </row>
    <row r="15" ht="19.5" customFormat="1" customHeight="1" s="388">
      <c r="A15" s="394" t="n"/>
      <c r="B15" s="390" t="n"/>
      <c r="C15" s="391" t="n"/>
      <c r="D15" s="391" t="n"/>
      <c r="E15" s="391" t="n"/>
      <c r="F15" s="395" t="n"/>
    </row>
    <row r="16" ht="21.75" customFormat="1" customHeight="1" s="388">
      <c r="A16" s="394" t="n"/>
      <c r="B16" s="390" t="n"/>
      <c r="C16" s="391" t="n"/>
      <c r="D16" s="391" t="n"/>
      <c r="E16" s="391" t="n"/>
      <c r="F16" s="395" t="n"/>
    </row>
    <row r="17" ht="19.5" customFormat="1" customHeight="1" s="388">
      <c r="A17" s="396" t="n"/>
      <c r="B17" s="397" t="n"/>
      <c r="C17" s="398" t="n"/>
      <c r="D17" s="398" t="n"/>
      <c r="E17" s="398" t="n"/>
      <c r="F17" s="399" t="n"/>
    </row>
  </sheetData>
  <mergeCells count="4">
    <mergeCell ref="B2:F2"/>
    <mergeCell ref="B6:D6"/>
    <mergeCell ref="B5:D5"/>
    <mergeCell ref="B4:D4"/>
  </mergeCells>
  <printOptions horizontalCentered="0" verticalCentered="0" headings="0" gridLines="0" gridLinesSet="1"/>
  <pageMargins left="0.4" right="0.4" top="0.5" bottom="0.5" header="0.511811023622047" footer="0.170138888888889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2: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8.99609375" defaultRowHeight="13" zeroHeight="0" outlineLevelRow="0"/>
  <cols>
    <col width="7.15" customWidth="1" style="400" min="1" max="1"/>
    <col width="14.82" customWidth="1" style="400" min="2" max="2"/>
    <col width="9.83" customWidth="1" style="400" min="3" max="3"/>
    <col width="12.32" customWidth="1" style="401" min="4" max="4"/>
    <col width="20.99" customWidth="1" style="402" min="5" max="5"/>
    <col width="12.32" customWidth="1" style="401" min="6" max="6"/>
    <col width="41.82" customWidth="1" style="401" min="7" max="7"/>
    <col width="51.32" customWidth="1" style="401" min="8" max="8"/>
    <col width="8.99" customWidth="1" style="372" min="9" max="257"/>
  </cols>
  <sheetData>
    <row r="2" ht="25" customHeight="1" s="354">
      <c r="A2" s="403" t="n"/>
      <c r="B2" s="403" t="n"/>
      <c r="C2" s="403" t="n"/>
      <c r="E2" s="404" t="inlineStr">
        <is>
          <t>Function List</t>
        </is>
      </c>
      <c r="F2" s="404" t="n"/>
      <c r="G2" s="405" t="n"/>
    </row>
    <row r="3" ht="13.5" customHeight="1" s="354">
      <c r="A3" s="403" t="n"/>
      <c r="B3" s="403" t="n"/>
      <c r="C3" s="403" t="n"/>
      <c r="F3" s="406" t="n"/>
      <c r="G3" s="406" t="n"/>
    </row>
    <row r="4" ht="14.25" customHeight="1" s="354">
      <c r="A4" s="407" t="inlineStr">
        <is>
          <t>Project Name</t>
        </is>
      </c>
      <c r="B4" s="368" t="n"/>
      <c r="C4" s="368" t="n"/>
      <c r="D4" s="368" t="n"/>
      <c r="E4" s="408">
        <f>Cover!B4</f>
        <v/>
      </c>
      <c r="F4" s="368" t="n"/>
      <c r="G4" s="368" t="n"/>
      <c r="H4" s="369" t="n"/>
    </row>
    <row r="5" ht="14.25" customHeight="1" s="354">
      <c r="A5" s="407" t="inlineStr">
        <is>
          <t>Project Code</t>
        </is>
      </c>
      <c r="B5" s="368" t="n"/>
      <c r="C5" s="368" t="n"/>
      <c r="D5" s="368" t="n"/>
      <c r="E5" s="408">
        <f>Cover!B5</f>
        <v/>
      </c>
      <c r="F5" s="368" t="n"/>
      <c r="G5" s="368" t="n"/>
      <c r="H5" s="369" t="n"/>
    </row>
    <row r="6" ht="14.25" customHeight="1" s="354">
      <c r="A6" s="409" t="inlineStr">
        <is>
          <t xml:space="preserve">Normal number of Test cases/KLOC </t>
        </is>
      </c>
      <c r="B6" s="368" t="n"/>
      <c r="C6" s="368" t="n"/>
      <c r="D6" s="369" t="n"/>
      <c r="E6" s="410" t="n">
        <v>100</v>
      </c>
      <c r="F6" s="411" t="n"/>
      <c r="G6" s="411" t="n"/>
      <c r="H6" s="412" t="n"/>
    </row>
    <row r="7" ht="12.75" customFormat="1" customHeight="1" s="413">
      <c r="A7" s="414" t="inlineStr">
        <is>
          <t>Test Environment Setup Description</t>
        </is>
      </c>
      <c r="B7" s="368" t="n"/>
      <c r="C7" s="368" t="n"/>
      <c r="D7" s="369" t="n"/>
      <c r="E7" s="415" t="inlineStr">
        <is>
          <t>1. Node.js 22, Jest 30 + ts-jest (npm run test in be/)
2. MongoDB models mocked in unit tests (no database needed)
3. CI: GitHub Actions ubuntu-latest, job "Backend (typecheck, lint, test)"</t>
        </is>
      </c>
      <c r="F7" s="368" t="n"/>
      <c r="G7" s="368" t="n"/>
      <c r="H7" s="369" t="n"/>
    </row>
    <row r="8" ht="13" customHeight="1" s="354">
      <c r="A8" s="416" t="n"/>
      <c r="B8" s="416" t="n"/>
      <c r="C8" s="416" t="n"/>
      <c r="D8" s="372" t="n"/>
      <c r="E8" s="413" t="n"/>
      <c r="F8" s="372" t="n"/>
      <c r="G8" s="372" t="n"/>
      <c r="H8" s="372" t="n"/>
    </row>
    <row r="9" ht="13" customFormat="1" customHeight="1" s="417">
      <c r="A9" s="418" t="n"/>
      <c r="B9" s="418" t="n"/>
      <c r="C9" s="418" t="n"/>
      <c r="D9" s="419" t="n"/>
      <c r="E9" s="420" t="n"/>
      <c r="F9" s="419" t="n"/>
      <c r="G9" s="419" t="n"/>
      <c r="H9" s="419" t="n"/>
    </row>
    <row r="10" ht="24" customFormat="1" customHeight="1" s="421">
      <c r="A10" s="422" t="inlineStr">
        <is>
          <t>No</t>
        </is>
      </c>
      <c r="B10" s="423" t="inlineStr">
        <is>
          <t>Requirement
Name</t>
        </is>
      </c>
      <c r="C10" s="424" t="inlineStr">
        <is>
          <t>Class Name</t>
        </is>
      </c>
      <c r="D10" s="425" t="inlineStr">
        <is>
          <t>Function Name</t>
        </is>
      </c>
      <c r="E10" s="426" t="inlineStr">
        <is>
          <t xml:space="preserve"> Function Code(Optional)</t>
        </is>
      </c>
      <c r="F10" s="425" t="inlineStr">
        <is>
          <t>Sheet Name</t>
        </is>
      </c>
      <c r="G10" s="427" t="inlineStr">
        <is>
          <t>Description</t>
        </is>
      </c>
      <c r="H10" s="428" t="inlineStr">
        <is>
          <t>Pre-Condition</t>
        </is>
      </c>
    </row>
    <row r="11" ht="14" customHeight="1" s="354">
      <c r="A11" s="429" t="n">
        <v>1</v>
      </c>
      <c r="B11" s="430" t="inlineStr">
        <is>
          <t>Staff login with e-mail / password, lockout, 72-hour tempora</t>
        </is>
      </c>
      <c r="C11" s="431" t="inlineStr">
        <is>
          <t>AuthService</t>
        </is>
      </c>
      <c r="D11" s="432" t="inlineStr">
        <is>
          <t>login</t>
        </is>
      </c>
      <c r="E11" s="433" t="inlineStr">
        <is>
          <t>UT-AUTH-LOGIN</t>
        </is>
      </c>
      <c r="F11" s="434" t="inlineStr">
        <is>
          <t>UT-AUTH-LOGIN</t>
        </is>
      </c>
      <c r="G11" s="435" t="inlineStr">
        <is>
          <t>Staff login with e-mail / password, lockout, 72-hour temporary password, optional two-factor (TOTP, backup code, trusted device) – SRS 3.2.1</t>
        </is>
      </c>
      <c r="H11" s="436" t="inlineStr">
        <is>
          <t>Can connect to MongoDB (mocked model)</t>
        </is>
      </c>
    </row>
    <row r="12" ht="14" customHeight="1" s="354">
      <c r="A12" s="429" t="n">
        <v>2</v>
      </c>
      <c r="B12" s="430" t="inlineStr">
        <is>
          <t>Scan one item while picking: SKU of the group, ordered quant</t>
        </is>
      </c>
      <c r="C12" s="431" t="inlineStr">
        <is>
          <t>OrderGroupsService</t>
        </is>
      </c>
      <c r="D12" s="432" t="inlineStr">
        <is>
          <t>pickItem</t>
        </is>
      </c>
      <c r="E12" s="433" t="inlineStr">
        <is>
          <t>UT-PICK-ITEM</t>
        </is>
      </c>
      <c r="F12" s="434" t="inlineStr">
        <is>
          <t>UT-PICK-ITEM</t>
        </is>
      </c>
      <c r="G12" s="435" t="inlineStr">
        <is>
          <t>Scan one item while picking: SKU of the group, ordered quantity, FIFO lot, idempotent scan – SRS 3.5.1</t>
        </is>
      </c>
      <c r="H12" s="436" t="inlineStr">
        <is>
          <t>MongoDB transaction available (mocked)</t>
        </is>
      </c>
    </row>
    <row r="13" ht="14" customHeight="1" s="354">
      <c r="A13" s="429" t="n">
        <v>3</v>
      </c>
      <c r="B13" s="430" t="inlineStr">
        <is>
          <t>Allowed Order Group status transitions (33) and rejection of</t>
        </is>
      </c>
      <c r="C13" s="431" t="inlineStr">
        <is>
          <t>allowed-status-transitions</t>
        </is>
      </c>
      <c r="D13" s="432" t="inlineStr">
        <is>
          <t>isValidStatusTransition / getAllowedNextStatuses</t>
        </is>
      </c>
      <c r="E13" s="433" t="inlineStr">
        <is>
          <t>UT-GROUP-TRANS</t>
        </is>
      </c>
      <c r="F13" s="434" t="inlineStr">
        <is>
          <t>UT-GROUP-TRANS</t>
        </is>
      </c>
      <c r="G13" s="435" t="inlineStr">
        <is>
          <t>Allowed Order Group status transitions (33) and rejection of invalid jumps – SDD 3.8</t>
        </is>
      </c>
      <c r="H13" s="436" t="inlineStr">
        <is>
          <t>Pure function, no external dependency</t>
        </is>
      </c>
    </row>
    <row r="14" ht="13" customHeight="1" s="354">
      <c r="A14" s="429" t="n">
        <v>4</v>
      </c>
      <c r="B14" s="430" t="inlineStr">
        <is>
          <t>Return ticket rules: 15-day window, one open ticket, no self</t>
        </is>
      </c>
      <c r="C14" s="431" t="inlineStr">
        <is>
          <t>ReturnsService</t>
        </is>
      </c>
      <c r="D14" s="432" t="inlineStr">
        <is>
          <t>createSimulated / approve / reject / receive / inspect</t>
        </is>
      </c>
      <c r="E14" s="433" t="inlineStr">
        <is>
          <t>UT-RETURNS</t>
        </is>
      </c>
      <c r="F14" s="434" t="inlineStr">
        <is>
          <t>UT-RETURNS</t>
        </is>
      </c>
      <c r="G14" s="435" t="inlineStr">
        <is>
          <t>Return ticket rules: 15-day window, one open ticket, no self-approval, reason required, inspection – SRS 3.8, BR-11, BR-12</t>
        </is>
      </c>
      <c r="H14" s="436" t="inlineStr">
        <is>
          <t>MongoDB transaction available (mocked)</t>
        </is>
      </c>
    </row>
    <row r="15" ht="13" customHeight="1" s="354">
      <c r="A15" s="429" t="n">
        <v>5</v>
      </c>
      <c r="B15" s="430" t="inlineStr">
        <is>
          <t>3D packing plan per order: valid placement, determinism, fra</t>
        </is>
      </c>
      <c r="C15" s="431" t="inlineStr">
        <is>
          <t>solve-order (BRKGA + EMS)</t>
        </is>
      </c>
      <c r="D15" s="432" t="inlineStr">
        <is>
          <t>solveOrder</t>
        </is>
      </c>
      <c r="E15" s="433" t="inlineStr">
        <is>
          <t>UT-SOLVER</t>
        </is>
      </c>
      <c r="F15" s="434" t="inlineStr">
        <is>
          <t>UT-SOLVER</t>
        </is>
      </c>
      <c r="G15" s="435" t="inlineStr">
        <is>
          <t>3D packing plan per order: valid placement, determinism, fragile items, folding, box stock and exclusions – SRS 3.6.1, BR-06, BR-15</t>
        </is>
      </c>
      <c r="H15" s="436" t="inlineStr">
        <is>
          <t>Box catalog with stock (fixture)</t>
        </is>
      </c>
    </row>
    <row r="16" ht="13" customHeight="1" s="354">
      <c r="A16" s="429" t="n"/>
      <c r="B16" s="431" t="n"/>
      <c r="C16" s="431" t="n"/>
      <c r="D16" s="437" t="n"/>
      <c r="E16" s="433" t="n"/>
      <c r="F16" s="438" t="n"/>
      <c r="G16" s="438" t="n"/>
      <c r="H16" s="439" t="n"/>
    </row>
    <row r="17" ht="13" customHeight="1" s="354">
      <c r="A17" s="429" t="n"/>
      <c r="B17" s="431" t="n"/>
      <c r="C17" s="431" t="n"/>
      <c r="D17" s="437" t="n"/>
      <c r="E17" s="433" t="n"/>
      <c r="F17" s="438" t="n"/>
      <c r="G17" s="438" t="n"/>
      <c r="H17" s="439" t="n"/>
    </row>
    <row r="18" ht="13" customHeight="1" s="354">
      <c r="A18" s="429" t="n"/>
      <c r="B18" s="431" t="n"/>
      <c r="C18" s="431" t="n"/>
      <c r="D18" s="437" t="n"/>
      <c r="E18" s="433" t="n"/>
      <c r="F18" s="438" t="n"/>
      <c r="G18" s="438" t="n"/>
      <c r="H18" s="439" t="n"/>
    </row>
    <row r="19" ht="13" customHeight="1" s="354">
      <c r="A19" s="429" t="n"/>
      <c r="B19" s="431" t="n"/>
      <c r="C19" s="431" t="n"/>
      <c r="D19" s="437" t="n"/>
      <c r="E19" s="433" t="n"/>
      <c r="F19" s="438" t="n"/>
      <c r="G19" s="438" t="n"/>
      <c r="H19" s="439" t="n"/>
    </row>
    <row r="20" ht="13" customHeight="1" s="354">
      <c r="A20" s="429" t="n"/>
      <c r="B20" s="431" t="n"/>
      <c r="C20" s="431" t="n"/>
      <c r="D20" s="437" t="n"/>
      <c r="E20" s="433" t="n"/>
      <c r="F20" s="438" t="n"/>
      <c r="G20" s="438" t="n"/>
      <c r="H20" s="439" t="n"/>
    </row>
    <row r="21" ht="13" customHeight="1" s="354">
      <c r="A21" s="429" t="n"/>
      <c r="B21" s="431" t="n"/>
      <c r="C21" s="431" t="n"/>
      <c r="D21" s="437" t="n"/>
      <c r="E21" s="433" t="n"/>
      <c r="F21" s="438" t="n"/>
      <c r="G21" s="438" t="n"/>
      <c r="H21" s="439" t="n"/>
    </row>
    <row r="22" ht="13" customHeight="1" s="354">
      <c r="A22" s="429" t="n"/>
      <c r="B22" s="431" t="n"/>
      <c r="C22" s="431" t="n"/>
      <c r="D22" s="437" t="n"/>
      <c r="E22" s="433" t="n"/>
      <c r="F22" s="438" t="n"/>
      <c r="G22" s="438" t="n"/>
      <c r="H22" s="439" t="n"/>
    </row>
    <row r="23" ht="13" customHeight="1" s="354">
      <c r="A23" s="440" t="n"/>
      <c r="B23" s="441" t="n"/>
      <c r="C23" s="441" t="n"/>
      <c r="D23" s="442" t="n"/>
      <c r="E23" s="443" t="n"/>
      <c r="F23" s="444" t="n"/>
      <c r="G23" s="444" t="n"/>
      <c r="H23" s="445" t="n"/>
    </row>
  </sheetData>
  <mergeCells count="7">
    <mergeCell ref="A5:D5"/>
    <mergeCell ref="A6:D6"/>
    <mergeCell ref="A4:D4"/>
    <mergeCell ref="E4:H4"/>
    <mergeCell ref="A7:D7"/>
    <mergeCell ref="E7:H7"/>
    <mergeCell ref="E5:H5"/>
  </mergeCells>
  <hyperlinks>
    <hyperlink ref="F11" location="Function1!A1" display="Function1"/>
    <hyperlink ref="F12" location="Function2!A1" display="Function2"/>
    <hyperlink ref="F13" location="Function3!A1" display="Function3"/>
  </hyperlink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&amp;L&amp;"Tahoma,Regular"&amp;8 02ae-BM/PM/HDCV/FSOFT v2/1&amp;C&amp;"Tahoma,Regular"&amp;8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2:I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42" activeCellId="0" sqref="G42"/>
    </sheetView>
  </sheetViews>
  <sheetFormatPr baseColWidth="8" defaultColWidth="8.99609375" defaultRowHeight="13" zeroHeight="0" outlineLevelRow="0"/>
  <cols>
    <col width="15.32" customWidth="1" style="372" min="1" max="1"/>
    <col width="26.65" customWidth="1" style="372" min="2" max="2"/>
    <col width="12.15" customWidth="1" style="372" min="3" max="3"/>
    <col width="9.65" customWidth="1" style="372" min="4" max="4"/>
    <col width="9.83" customWidth="1" style="372" min="5" max="5"/>
    <col width="5.15" customWidth="1" style="372" min="6" max="8"/>
    <col width="20.99" customWidth="1" style="372" min="9" max="9"/>
    <col width="33.15" customWidth="1" style="372" min="10" max="10"/>
    <col width="8.99" customWidth="1" style="372" min="11" max="257"/>
  </cols>
  <sheetData>
    <row r="2" ht="25.5" customHeight="1" s="354">
      <c r="A2" s="446" t="inlineStr">
        <is>
          <t>UNIT TEST REPORT</t>
        </is>
      </c>
    </row>
    <row r="3" ht="14.25" customHeight="1" s="354">
      <c r="A3" s="447" t="n"/>
      <c r="B3" s="448" t="n"/>
      <c r="C3" s="448" t="n"/>
      <c r="D3" s="448" t="n"/>
      <c r="E3" s="448" t="n"/>
      <c r="F3" s="448" t="n"/>
      <c r="G3" s="448" t="n"/>
      <c r="H3" s="448" t="n"/>
      <c r="I3" s="449" t="n"/>
    </row>
    <row r="4" ht="13.5" customHeight="1" s="354">
      <c r="A4" s="450" t="inlineStr">
        <is>
          <t>Project Name</t>
        </is>
      </c>
      <c r="B4" s="408">
        <f>Cover!B4</f>
        <v/>
      </c>
      <c r="C4" s="369" t="n"/>
      <c r="D4" s="373" t="inlineStr">
        <is>
          <t>Creator</t>
        </is>
      </c>
      <c r="E4" s="369" t="n"/>
      <c r="F4" s="451" t="inlineStr">
        <is>
          <t>Nguyễn Phương Mỹ Thuận</t>
        </is>
      </c>
      <c r="G4" s="368" t="n"/>
      <c r="H4" s="368" t="n"/>
      <c r="I4" s="369" t="n"/>
    </row>
    <row r="5" ht="13.5" customHeight="1" s="354">
      <c r="A5" s="450" t="inlineStr">
        <is>
          <t>Project Code</t>
        </is>
      </c>
      <c r="B5" s="408">
        <f>Cover!B5</f>
        <v/>
      </c>
      <c r="C5" s="369" t="n"/>
      <c r="D5" s="373" t="inlineStr">
        <is>
          <t>Reviewer/Approver</t>
        </is>
      </c>
      <c r="E5" s="369" t="n"/>
      <c r="F5" s="451" t="inlineStr">
        <is>
          <t>Thân Thị Ngọc Vân</t>
        </is>
      </c>
      <c r="G5" s="368" t="n"/>
      <c r="H5" s="368" t="n"/>
      <c r="I5" s="369" t="n"/>
    </row>
    <row r="6" ht="12.75" customHeight="1" s="354">
      <c r="A6" s="377" t="inlineStr">
        <is>
          <t>Document Code</t>
        </is>
      </c>
      <c r="B6" s="408">
        <f>B5&amp;"_"&amp;"Unit Test Report"&amp;"_"&amp;"v1.0"</f>
        <v/>
      </c>
      <c r="C6" s="369" t="n"/>
      <c r="D6" s="373" t="inlineStr">
        <is>
          <t>Issue Date</t>
        </is>
      </c>
      <c r="E6" s="369" t="n"/>
      <c r="F6" s="452" t="inlineStr">
        <is>
          <t>25/10/2026</t>
        </is>
      </c>
      <c r="G6" s="368" t="n"/>
      <c r="H6" s="368" t="n"/>
      <c r="I6" s="369" t="n"/>
    </row>
    <row r="7" ht="15.75" customHeight="1" s="354">
      <c r="A7" s="377" t="inlineStr">
        <is>
          <t>Notes</t>
        </is>
      </c>
      <c r="B7" s="453" t="inlineStr">
        <is>
          <t>Review 2 release (tag review-2): unit tests of 5 core back-end functions; all cases run automatically in CI (Jest).</t>
        </is>
      </c>
      <c r="C7" s="368" t="n"/>
      <c r="D7" s="368" t="n"/>
      <c r="E7" s="368" t="n"/>
      <c r="F7" s="368" t="n"/>
      <c r="G7" s="368" t="n"/>
      <c r="H7" s="368" t="n"/>
      <c r="I7" s="369" t="n"/>
    </row>
    <row r="8" ht="14.25" customHeight="1" s="354">
      <c r="A8" s="454" t="n"/>
      <c r="B8" s="455" t="n"/>
      <c r="C8" s="448" t="n"/>
      <c r="D8" s="448" t="n"/>
      <c r="E8" s="448" t="n"/>
      <c r="F8" s="448" t="n"/>
      <c r="G8" s="448" t="n"/>
      <c r="H8" s="448" t="n"/>
      <c r="I8" s="449" t="n"/>
    </row>
    <row r="9" ht="13" customHeight="1" s="354">
      <c r="A9" s="454" t="n"/>
      <c r="B9" s="455" t="n"/>
      <c r="C9" s="448" t="n"/>
      <c r="D9" s="448" t="n"/>
      <c r="E9" s="448" t="n"/>
      <c r="F9" s="448" t="n"/>
      <c r="G9" s="448" t="n"/>
      <c r="H9" s="448" t="n"/>
      <c r="I9" s="449" t="n"/>
    </row>
    <row r="10" ht="13" customHeight="1" s="354">
      <c r="A10" s="372" t="n"/>
      <c r="B10" s="372" t="n"/>
      <c r="C10" s="372" t="n"/>
      <c r="D10" s="372" t="n"/>
      <c r="E10" s="372" t="n"/>
      <c r="F10" s="372" t="n"/>
      <c r="G10" s="372" t="n"/>
      <c r="H10" s="372" t="n"/>
      <c r="I10" s="372" t="n"/>
    </row>
    <row r="11" ht="14.25" customHeight="1" s="354">
      <c r="A11" s="456" t="inlineStr">
        <is>
          <t>No</t>
        </is>
      </c>
      <c r="B11" s="457" t="inlineStr">
        <is>
          <t>Function code</t>
        </is>
      </c>
      <c r="C11" s="458" t="inlineStr">
        <is>
          <t>Passed</t>
        </is>
      </c>
      <c r="D11" s="457" t="inlineStr">
        <is>
          <t>Failed</t>
        </is>
      </c>
      <c r="E11" s="459" t="inlineStr">
        <is>
          <t>Untested</t>
        </is>
      </c>
      <c r="F11" s="459" t="inlineStr">
        <is>
          <t>N</t>
        </is>
      </c>
      <c r="G11" s="459" t="inlineStr">
        <is>
          <t>A</t>
        </is>
      </c>
      <c r="H11" s="459" t="inlineStr">
        <is>
          <t>B</t>
        </is>
      </c>
      <c r="I11" s="460" t="inlineStr">
        <is>
          <t>Total Test Cases</t>
        </is>
      </c>
    </row>
    <row r="12" ht="13" customHeight="1" s="354">
      <c r="A12" s="461" t="n">
        <v>1</v>
      </c>
      <c r="B12" s="462" t="inlineStr">
        <is>
          <t>UT-AUTH-LOGIN</t>
        </is>
      </c>
      <c r="C12" s="463">
        <f>'UT-AUTH-LOGIN'!A7</f>
        <v/>
      </c>
      <c r="D12" s="463">
        <f>'UT-AUTH-LOGIN'!C7</f>
        <v/>
      </c>
      <c r="E12" s="463">
        <f>'UT-AUTH-LOGIN'!F7</f>
        <v/>
      </c>
      <c r="F12" s="464">
        <f>'UT-AUTH-LOGIN'!L7</f>
        <v/>
      </c>
      <c r="G12" s="463">
        <f>'UT-AUTH-LOGIN'!M7</f>
        <v/>
      </c>
      <c r="H12" s="463">
        <f>'UT-AUTH-LOGIN'!N7</f>
        <v/>
      </c>
      <c r="I12" s="463">
        <f>'UT-AUTH-LOGIN'!O7</f>
        <v/>
      </c>
    </row>
    <row r="13" ht="13" customHeight="1" s="354">
      <c r="A13" s="461" t="n">
        <v>2</v>
      </c>
      <c r="B13" s="462" t="inlineStr">
        <is>
          <t>UT-PICK-ITEM</t>
        </is>
      </c>
      <c r="C13" s="463">
        <f>'UT-PICK-ITEM'!A7</f>
        <v/>
      </c>
      <c r="D13" s="463">
        <f>'UT-PICK-ITEM'!C7</f>
        <v/>
      </c>
      <c r="E13" s="463">
        <f>'UT-PICK-ITEM'!F7</f>
        <v/>
      </c>
      <c r="F13" s="464">
        <f>'UT-PICK-ITEM'!L7</f>
        <v/>
      </c>
      <c r="G13" s="463">
        <f>'UT-PICK-ITEM'!M7</f>
        <v/>
      </c>
      <c r="H13" s="463">
        <f>'UT-PICK-ITEM'!N7</f>
        <v/>
      </c>
      <c r="I13" s="463">
        <f>'UT-PICK-ITEM'!O7</f>
        <v/>
      </c>
    </row>
    <row r="14" ht="13" customHeight="1" s="354">
      <c r="A14" s="461" t="n">
        <v>3</v>
      </c>
      <c r="B14" s="462" t="inlineStr">
        <is>
          <t>UT-GROUP-TRANS</t>
        </is>
      </c>
      <c r="C14" s="463">
        <f>'UT-GROUP-TRANS'!A7</f>
        <v/>
      </c>
      <c r="D14" s="463">
        <f>'UT-GROUP-TRANS'!C7</f>
        <v/>
      </c>
      <c r="E14" s="463">
        <f>'UT-GROUP-TRANS'!F7</f>
        <v/>
      </c>
      <c r="F14" s="464">
        <f>'UT-GROUP-TRANS'!L7</f>
        <v/>
      </c>
      <c r="G14" s="463">
        <f>'UT-GROUP-TRANS'!M7</f>
        <v/>
      </c>
      <c r="H14" s="463">
        <f>'UT-GROUP-TRANS'!N7</f>
        <v/>
      </c>
      <c r="I14" s="463">
        <f>'UT-GROUP-TRANS'!O7</f>
        <v/>
      </c>
    </row>
    <row r="15" ht="14" customHeight="1" s="354">
      <c r="A15" s="461" t="n">
        <v>4</v>
      </c>
      <c r="B15" s="462" t="inlineStr">
        <is>
          <t>UT-RETURNS</t>
        </is>
      </c>
      <c r="C15" s="463">
        <f>'UT-RETURNS'!A7</f>
        <v/>
      </c>
      <c r="D15" s="463">
        <f>'UT-RETURNS'!C7</f>
        <v/>
      </c>
      <c r="E15" s="463">
        <f>'UT-RETURNS'!F7</f>
        <v/>
      </c>
      <c r="F15" s="464">
        <f>'UT-RETURNS'!L7</f>
        <v/>
      </c>
      <c r="G15" s="463">
        <f>'UT-RETURNS'!M7</f>
        <v/>
      </c>
      <c r="H15" s="463">
        <f>'UT-RETURNS'!N7</f>
        <v/>
      </c>
      <c r="I15" s="463">
        <f>'UT-RETURNS'!O7</f>
        <v/>
      </c>
    </row>
    <row r="16" ht="14" customHeight="1" s="354">
      <c r="A16" s="461" t="n">
        <v>5</v>
      </c>
      <c r="B16" s="462" t="inlineStr">
        <is>
          <t>UT-SOLVER</t>
        </is>
      </c>
      <c r="C16" s="463">
        <f>'UT-SOLVER'!A7</f>
        <v/>
      </c>
      <c r="D16" s="463">
        <f>'UT-SOLVER'!C7</f>
        <v/>
      </c>
      <c r="E16" s="463">
        <f>'UT-SOLVER'!F7</f>
        <v/>
      </c>
      <c r="F16" s="464">
        <f>'UT-SOLVER'!L7</f>
        <v/>
      </c>
      <c r="G16" s="463">
        <f>'UT-SOLVER'!M7</f>
        <v/>
      </c>
      <c r="H16" s="463">
        <f>'UT-SOLVER'!N7</f>
        <v/>
      </c>
      <c r="I16" s="463">
        <f>'UT-SOLVER'!O7</f>
        <v/>
      </c>
    </row>
    <row r="17" ht="14" customHeight="1" s="354">
      <c r="A17" s="465" t="n"/>
      <c r="B17" s="466" t="inlineStr">
        <is>
          <t>Sub total</t>
        </is>
      </c>
      <c r="C17" s="467">
        <f>SUM(C12:C16)</f>
        <v/>
      </c>
      <c r="D17" s="467">
        <f>SUM(D12:D16)</f>
        <v/>
      </c>
      <c r="E17" s="467">
        <f>SUM(E12:E16)</f>
        <v/>
      </c>
      <c r="F17" s="467">
        <f>SUM(F12:F16)</f>
        <v/>
      </c>
      <c r="G17" s="467">
        <f>SUM(G12:G16)</f>
        <v/>
      </c>
      <c r="H17" s="467">
        <f>SUM(H12:H16)</f>
        <v/>
      </c>
      <c r="I17" s="467">
        <f>SUM(I12:I16)</f>
        <v/>
      </c>
    </row>
    <row r="18" ht="13" customHeight="1" s="354">
      <c r="A18" s="468" t="n"/>
      <c r="B18" s="372" t="n"/>
      <c r="C18" s="469" t="n"/>
      <c r="D18" s="470" t="n"/>
      <c r="E18" s="470" t="n"/>
      <c r="F18" s="470" t="n"/>
      <c r="G18" s="470" t="n"/>
      <c r="H18" s="470" t="n"/>
      <c r="I18" s="470" t="n"/>
    </row>
    <row r="19" ht="13" customHeight="1" s="354">
      <c r="A19" s="372" t="n"/>
      <c r="B19" s="471" t="inlineStr">
        <is>
          <t>Test coverage</t>
        </is>
      </c>
      <c r="C19" s="372" t="n"/>
      <c r="D19" s="472">
        <f>(C17+D17)*100/(I17)</f>
        <v/>
      </c>
      <c r="E19" s="372" t="inlineStr">
        <is>
          <t>%</t>
        </is>
      </c>
      <c r="F19" s="372" t="n"/>
      <c r="G19" s="372" t="n"/>
      <c r="H19" s="372" t="n"/>
      <c r="I19" s="473" t="n"/>
    </row>
    <row r="20" ht="13" customHeight="1" s="354">
      <c r="A20" s="372" t="n"/>
      <c r="B20" s="471" t="inlineStr">
        <is>
          <t>Test successful coverage</t>
        </is>
      </c>
      <c r="C20" s="372" t="n"/>
      <c r="D20" s="472">
        <f>C17*100/(I17)</f>
        <v/>
      </c>
      <c r="E20" s="372" t="inlineStr">
        <is>
          <t>%</t>
        </is>
      </c>
      <c r="F20" s="372" t="n"/>
      <c r="G20" s="372" t="n"/>
      <c r="H20" s="372" t="n"/>
      <c r="I20" s="473" t="n"/>
    </row>
    <row r="21" ht="13" customHeight="1" s="354">
      <c r="B21" s="471" t="inlineStr">
        <is>
          <t>Normal case</t>
        </is>
      </c>
      <c r="C21" s="372" t="n"/>
      <c r="D21" s="472">
        <f>F17*100/I17</f>
        <v/>
      </c>
      <c r="E21" s="372" t="inlineStr">
        <is>
          <t>%</t>
        </is>
      </c>
    </row>
    <row r="22" ht="13" customHeight="1" s="354">
      <c r="B22" s="471" t="inlineStr">
        <is>
          <t>Abnormal case</t>
        </is>
      </c>
      <c r="D22" s="472">
        <f>G17*100/I17</f>
        <v/>
      </c>
      <c r="E22" s="372" t="inlineStr">
        <is>
          <t>%</t>
        </is>
      </c>
    </row>
    <row r="23" ht="13" customHeight="1" s="354">
      <c r="B23" s="471" t="inlineStr">
        <is>
          <t>Boundary case</t>
        </is>
      </c>
      <c r="D23" s="472">
        <f>H17*100/I17</f>
        <v/>
      </c>
      <c r="E23" s="372" t="inlineStr">
        <is>
          <t>%</t>
        </is>
      </c>
    </row>
  </sheetData>
  <mergeCells count="11">
    <mergeCell ref="D6:E6"/>
    <mergeCell ref="B6:C6"/>
    <mergeCell ref="A2:I2"/>
    <mergeCell ref="B7:I7"/>
    <mergeCell ref="B5:C5"/>
    <mergeCell ref="F4:I4"/>
    <mergeCell ref="D5:E5"/>
    <mergeCell ref="D4:E4"/>
    <mergeCell ref="F5:I5"/>
    <mergeCell ref="B4:C4"/>
    <mergeCell ref="F6:I6"/>
  </mergeCells>
  <hyperlinks>
    <hyperlink ref="B12" location="Function1!A1" display="Function1"/>
    <hyperlink ref="B13" location="Function2!A1" display="Function2"/>
    <hyperlink ref="B14" location="Function2!A1" display="Function3"/>
  </hyperlink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&amp;L&amp;"Tahoma,Regular"&amp;8 02ae-BM/PM/HDCV/FSOFT v2/1&amp;C&amp;"Tahoma,Regular"&amp;8 Internal use&amp;R&amp;"Tahoma,Regular"&amp;8 &amp;P/&amp;N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W43"/>
  <sheetViews>
    <sheetView workbookViewId="0">
      <selection activeCell="A1" sqref="A1"/>
    </sheetView>
  </sheetViews>
  <sheetFormatPr baseColWidth="8" defaultColWidth="8.99609375" defaultRowHeight="13.5" zeroHeight="0" outlineLevelRow="0"/>
  <cols>
    <col width="8.16" customWidth="1" style="474" min="1" max="1"/>
    <col width="13.32" customWidth="1" style="475" min="2" max="2"/>
    <col width="10.82" customWidth="1" style="474" min="3" max="3"/>
    <col width="34" customWidth="1" style="476" min="4" max="4"/>
    <col hidden="1" width="1.82" customWidth="1" style="474" min="5" max="5"/>
    <col width="10" customWidth="1" style="474" min="6" max="21"/>
    <col width="10" customWidth="1" style="354" min="7" max="7"/>
    <col width="10" customWidth="1" style="354" min="8" max="8"/>
    <col width="10" customWidth="1" style="354" min="9" max="9"/>
    <col width="10" customWidth="1" style="354" min="10" max="10"/>
    <col width="10" customWidth="1" style="354" min="11" max="11"/>
    <col width="10" customWidth="1" style="354" min="12" max="12"/>
    <col width="10" customWidth="1" style="354" min="13" max="13"/>
    <col width="10" customWidth="1" style="354" min="14" max="14"/>
    <col width="10" customWidth="1" style="354" min="15" max="15"/>
    <col width="10" customWidth="1" style="354" min="16" max="16"/>
    <col width="10" customWidth="1" style="354" min="17" max="17"/>
    <col width="10" customWidth="1" style="354" min="18" max="18"/>
    <col width="8.99" customWidth="1" style="474" min="22" max="257"/>
  </cols>
  <sheetData>
    <row r="1" ht="13.5" customHeight="1" s="354">
      <c r="A1" s="477" t="n"/>
      <c r="B1" s="478" t="n"/>
    </row>
    <row r="2" ht="13.5" customHeight="1" s="354">
      <c r="A2" s="479" t="inlineStr">
        <is>
          <t>Function Code</t>
        </is>
      </c>
      <c r="B2" s="480" t="n"/>
      <c r="C2" s="481" t="inlineStr">
        <is>
          <t>UT-AUTH-LOGIN</t>
        </is>
      </c>
      <c r="D2" s="480" t="n"/>
      <c r="E2" s="482" t="n"/>
      <c r="F2" s="483" t="inlineStr">
        <is>
          <t>Function Name</t>
        </is>
      </c>
      <c r="G2" s="484" t="n"/>
      <c r="H2" s="484" t="n"/>
      <c r="I2" s="484" t="n"/>
      <c r="J2" s="484" t="n"/>
      <c r="K2" s="484" t="n"/>
      <c r="L2" s="485" t="inlineStr">
        <is>
          <t>AuthService.login</t>
        </is>
      </c>
      <c r="M2" s="480" t="n"/>
      <c r="N2" s="480" t="n"/>
      <c r="O2" s="480" t="n"/>
      <c r="P2" s="480" t="n"/>
      <c r="Q2" s="480" t="n"/>
      <c r="R2" s="480" t="n"/>
      <c r="S2" s="480" t="n"/>
      <c r="T2" s="486" t="n"/>
      <c r="V2" s="487" t="n"/>
    </row>
    <row r="3" ht="13.5" customHeight="1" s="354">
      <c r="A3" s="488" t="inlineStr">
        <is>
          <t>Created By</t>
        </is>
      </c>
      <c r="B3" s="369" t="n"/>
      <c r="C3" s="489" t="inlineStr">
        <is>
          <t>Thuận</t>
        </is>
      </c>
      <c r="D3" s="490" t="n"/>
      <c r="E3" s="491" t="n"/>
      <c r="F3" s="492" t="inlineStr">
        <is>
          <t>Executed By</t>
        </is>
      </c>
      <c r="G3" s="368" t="n"/>
      <c r="H3" s="368" t="n"/>
      <c r="I3" s="368" t="n"/>
      <c r="J3" s="368" t="n"/>
      <c r="K3" s="369" t="n"/>
      <c r="L3" s="493" t="inlineStr">
        <is>
          <t>GitHub Actions CI (run #258, commit 1a3101c)</t>
        </is>
      </c>
      <c r="M3" s="490" t="n"/>
      <c r="N3" s="490" t="n"/>
      <c r="O3" s="494" t="n"/>
      <c r="P3" s="494" t="n"/>
      <c r="Q3" s="494" t="n"/>
      <c r="R3" s="494" t="n"/>
      <c r="S3" s="494" t="n"/>
      <c r="T3" s="495" t="n"/>
    </row>
    <row r="4" ht="13.5" customHeight="1" s="354">
      <c r="A4" s="488" t="inlineStr">
        <is>
          <t>Lines  of code</t>
        </is>
      </c>
      <c r="B4" s="369" t="n"/>
      <c r="C4" s="496" t="n">
        <v>143</v>
      </c>
      <c r="D4" s="368" t="n"/>
      <c r="E4" s="497" t="n"/>
      <c r="F4" s="492" t="inlineStr">
        <is>
          <t>Lack of test cases</t>
        </is>
      </c>
      <c r="G4" s="368" t="n"/>
      <c r="H4" s="368" t="n"/>
      <c r="I4" s="368" t="n"/>
      <c r="J4" s="368" t="n"/>
      <c r="K4" s="369" t="n"/>
      <c r="L4" s="498">
        <f>IF(Functions!E6&lt;&gt;"N/A",SUM(C4*Functions!E6/1000,-O7),"N/A")</f>
        <v/>
      </c>
      <c r="M4" s="368" t="n"/>
      <c r="N4" s="368" t="n"/>
      <c r="O4" s="368" t="n"/>
      <c r="P4" s="368" t="n"/>
      <c r="Q4" s="368" t="n"/>
      <c r="R4" s="368" t="n"/>
      <c r="S4" s="368" t="n"/>
      <c r="T4" s="499" t="n"/>
      <c r="V4" s="487" t="n"/>
    </row>
    <row r="5" ht="13.5" customHeight="1" s="354">
      <c r="A5" s="488" t="inlineStr">
        <is>
          <t>Test requirement</t>
        </is>
      </c>
      <c r="B5" s="369" t="n"/>
      <c r="C5" s="500" t="inlineStr">
        <is>
          <t>Staff login with e-mail / password, lockout, 72-hour temporary password, optional two-factor (TOTP, backup code, trusted device) – SRS 3.2.1. Test file: be/src/modules/auth/auth.service.spec.ts; source: be/src/modules/auth/auth.service.ts</t>
        </is>
      </c>
      <c r="D5" s="368" t="n"/>
      <c r="E5" s="368" t="n"/>
      <c r="F5" s="368" t="n"/>
      <c r="G5" s="368" t="n"/>
      <c r="H5" s="368" t="n"/>
      <c r="I5" s="368" t="n"/>
      <c r="J5" s="368" t="n"/>
      <c r="K5" s="368" t="n"/>
      <c r="L5" s="368" t="n"/>
      <c r="M5" s="368" t="n"/>
      <c r="N5" s="368" t="n"/>
      <c r="O5" s="368" t="n"/>
      <c r="P5" s="368" t="n"/>
      <c r="Q5" s="368" t="n"/>
      <c r="R5" s="368" t="n"/>
      <c r="S5" s="368" t="n"/>
      <c r="T5" s="499" t="n"/>
    </row>
    <row r="6" ht="13.5" customHeight="1" s="354">
      <c r="A6" s="501" t="inlineStr">
        <is>
          <t>Passed</t>
        </is>
      </c>
      <c r="B6" s="369" t="n"/>
      <c r="C6" s="502" t="inlineStr">
        <is>
          <t>Failed</t>
        </is>
      </c>
      <c r="D6" s="368" t="n"/>
      <c r="E6" s="369" t="n"/>
      <c r="F6" s="502" t="inlineStr">
        <is>
          <t>Untested</t>
        </is>
      </c>
      <c r="G6" s="368" t="n"/>
      <c r="H6" s="368" t="n"/>
      <c r="I6" s="368" t="n"/>
      <c r="J6" s="368" t="n"/>
      <c r="K6" s="369" t="n"/>
      <c r="L6" s="503" t="inlineStr">
        <is>
          <t>N/A/B</t>
        </is>
      </c>
      <c r="M6" s="368" t="n"/>
      <c r="N6" s="368" t="n"/>
      <c r="O6" s="504" t="inlineStr">
        <is>
          <t>Total Test Cases</t>
        </is>
      </c>
      <c r="P6" s="368" t="n"/>
      <c r="Q6" s="368" t="n"/>
      <c r="R6" s="368" t="n"/>
      <c r="S6" s="368" t="n"/>
      <c r="T6" s="499" t="n"/>
      <c r="V6" s="487" t="n"/>
    </row>
    <row r="7" ht="13.5" customHeight="1" s="354">
      <c r="A7" s="505">
        <f>COUNTIF(F42:R42,"P")</f>
        <v/>
      </c>
      <c r="B7" s="506" t="n"/>
      <c r="C7" s="507">
        <f>COUNTIF(F42:R42,"F")</f>
        <v/>
      </c>
      <c r="D7" s="508" t="n"/>
      <c r="E7" s="506" t="n"/>
      <c r="F7" s="507">
        <f>SUM(O7,-A7,-C7)</f>
        <v/>
      </c>
      <c r="G7" s="508" t="n"/>
      <c r="H7" s="508" t="n"/>
      <c r="I7" s="508" t="n"/>
      <c r="J7" s="508" t="n"/>
      <c r="K7" s="506" t="n"/>
      <c r="L7" s="509">
        <f>COUNTIF(F41:R41,"N")</f>
        <v/>
      </c>
      <c r="M7" s="509">
        <f>COUNTIF(F41:R41,"A")</f>
        <v/>
      </c>
      <c r="N7" s="509">
        <f>COUNTIF(F41:R41,"B")</f>
        <v/>
      </c>
      <c r="O7" s="510">
        <f>COUNTA(F9:R9)</f>
        <v/>
      </c>
      <c r="P7" s="508" t="n"/>
      <c r="Q7" s="508" t="n"/>
      <c r="R7" s="508" t="n"/>
      <c r="S7" s="508" t="n"/>
      <c r="T7" s="511" t="n"/>
      <c r="U7" s="512" t="n"/>
    </row>
    <row r="8" ht="12" customHeight="1" s="354"/>
    <row r="9" ht="46.5" customHeight="1" s="354">
      <c r="A9" s="513" t="n"/>
      <c r="B9" s="514" t="n"/>
      <c r="C9" s="515" t="n"/>
      <c r="D9" s="516" t="n"/>
      <c r="E9" s="515" t="n"/>
      <c r="F9" s="517" t="inlineStr">
        <is>
          <t>UTCID01</t>
        </is>
      </c>
      <c r="G9" s="517" t="inlineStr">
        <is>
          <t>UTCID02</t>
        </is>
      </c>
      <c r="H9" s="517" t="inlineStr">
        <is>
          <t>UTCID03</t>
        </is>
      </c>
      <c r="I9" s="517" t="inlineStr">
        <is>
          <t>UTCID04</t>
        </is>
      </c>
      <c r="J9" s="517" t="inlineStr">
        <is>
          <t>UTCID05</t>
        </is>
      </c>
      <c r="K9" s="517" t="inlineStr">
        <is>
          <t>UTCID06</t>
        </is>
      </c>
      <c r="L9" s="517" t="inlineStr">
        <is>
          <t>UTCID07</t>
        </is>
      </c>
      <c r="M9" s="517" t="inlineStr">
        <is>
          <t>UTCID08</t>
        </is>
      </c>
      <c r="N9" s="517" t="inlineStr">
        <is>
          <t>UTCID09</t>
        </is>
      </c>
      <c r="O9" s="517" t="inlineStr">
        <is>
          <t>UTCID10</t>
        </is>
      </c>
      <c r="P9" s="517" t="inlineStr">
        <is>
          <t>UTCID11</t>
        </is>
      </c>
      <c r="Q9" s="517" t="inlineStr">
        <is>
          <t>UTCID12</t>
        </is>
      </c>
      <c r="R9" s="517" t="inlineStr">
        <is>
          <t>UTCID13</t>
        </is>
      </c>
      <c r="S9" s="517" t="n"/>
      <c r="T9" s="518" t="n"/>
      <c r="U9" s="519" t="n"/>
      <c r="V9" s="487" t="n"/>
      <c r="W9" s="474" t="n"/>
    </row>
    <row r="10" ht="13.5" customHeight="1" s="354">
      <c r="A10" s="520" t="inlineStr">
        <is>
          <t>Condition</t>
        </is>
      </c>
      <c r="B10" s="521" t="inlineStr">
        <is>
          <t>Precondition</t>
        </is>
      </c>
      <c r="C10" s="522" t="n"/>
      <c r="D10" s="523" t="n"/>
      <c r="E10" s="524" t="n"/>
      <c r="F10" s="525" t="n"/>
      <c r="G10" s="525" t="n"/>
      <c r="H10" s="525" t="n"/>
      <c r="I10" s="525" t="n"/>
      <c r="J10" s="525" t="n"/>
      <c r="K10" s="525" t="n"/>
      <c r="L10" s="525" t="n"/>
      <c r="M10" s="525" t="n"/>
      <c r="N10" s="525" t="n"/>
      <c r="O10" s="525" t="n"/>
      <c r="P10" s="525" t="n"/>
      <c r="Q10" s="525" t="n"/>
      <c r="R10" s="525" t="n"/>
      <c r="S10" s="525" t="n"/>
      <c r="T10" s="526" t="n"/>
    </row>
    <row r="11" ht="13.5" customHeight="1" s="354">
      <c r="A11" s="527" t="n"/>
      <c r="B11" s="528" t="n"/>
      <c r="C11" s="529" t="n"/>
      <c r="D11" s="530" t="inlineStr">
        <is>
          <t>Can connect to MongoDB (mocked model)</t>
        </is>
      </c>
      <c r="E11" s="524" t="n"/>
      <c r="F11" s="531" t="inlineStr">
        <is>
          <t>O</t>
        </is>
      </c>
      <c r="G11" s="531" t="inlineStr">
        <is>
          <t>O</t>
        </is>
      </c>
      <c r="H11" s="531" t="inlineStr">
        <is>
          <t>O</t>
        </is>
      </c>
      <c r="I11" s="531" t="inlineStr">
        <is>
          <t>O</t>
        </is>
      </c>
      <c r="J11" s="531" t="inlineStr">
        <is>
          <t>O</t>
        </is>
      </c>
      <c r="K11" s="531" t="inlineStr">
        <is>
          <t>O</t>
        </is>
      </c>
      <c r="L11" s="531" t="inlineStr">
        <is>
          <t>O</t>
        </is>
      </c>
      <c r="M11" s="531" t="inlineStr">
        <is>
          <t>O</t>
        </is>
      </c>
      <c r="N11" s="531" t="inlineStr">
        <is>
          <t>O</t>
        </is>
      </c>
      <c r="O11" s="531" t="inlineStr">
        <is>
          <t>O</t>
        </is>
      </c>
      <c r="P11" s="531" t="inlineStr">
        <is>
          <t>O</t>
        </is>
      </c>
      <c r="Q11" s="531" t="inlineStr">
        <is>
          <t>O</t>
        </is>
      </c>
      <c r="R11" s="531" t="inlineStr">
        <is>
          <t>O</t>
        </is>
      </c>
      <c r="S11" s="531" t="n"/>
      <c r="T11" s="532" t="n"/>
      <c r="V11" s="487" t="n"/>
    </row>
    <row r="12" ht="13.5" customHeight="1" s="354">
      <c r="A12" s="527" t="n"/>
      <c r="B12" s="528" t="inlineStr">
        <is>
          <t>User</t>
        </is>
      </c>
      <c r="C12" s="529" t="n"/>
      <c r="D12" s="530" t="n"/>
      <c r="E12" s="524" t="n"/>
      <c r="F12" s="531" t="n"/>
      <c r="G12" s="531" t="n"/>
      <c r="H12" s="531" t="n"/>
      <c r="I12" s="531" t="n"/>
      <c r="J12" s="531" t="n"/>
      <c r="K12" s="531" t="n"/>
      <c r="L12" s="531" t="n"/>
      <c r="M12" s="531" t="n"/>
      <c r="N12" s="531" t="n"/>
      <c r="O12" s="531" t="n"/>
      <c r="P12" s="531" t="n"/>
      <c r="Q12" s="531" t="n"/>
      <c r="R12" s="531" t="n"/>
      <c r="S12" s="531" t="n"/>
      <c r="T12" s="532" t="n"/>
    </row>
    <row r="13" ht="13.5" customHeight="1" s="354">
      <c r="A13" s="527" t="n"/>
      <c r="B13" s="528" t="n"/>
      <c r="C13" s="529" t="n"/>
      <c r="D13" s="530" t="inlineStr">
        <is>
          <t>exists, active</t>
        </is>
      </c>
      <c r="E13" s="533" t="n"/>
      <c r="F13" s="531" t="inlineStr">
        <is>
          <t>O</t>
        </is>
      </c>
      <c r="G13" s="531" t="n"/>
      <c r="H13" s="531" t="inlineStr">
        <is>
          <t>O</t>
        </is>
      </c>
      <c r="I13" s="531" t="n"/>
      <c r="J13" s="531" t="n"/>
      <c r="K13" s="531" t="n"/>
      <c r="L13" s="531" t="inlineStr">
        <is>
          <t>O</t>
        </is>
      </c>
      <c r="M13" s="531" t="inlineStr">
        <is>
          <t>O</t>
        </is>
      </c>
      <c r="N13" s="531" t="inlineStr">
        <is>
          <t>O</t>
        </is>
      </c>
      <c r="O13" s="531" t="inlineStr">
        <is>
          <t>O</t>
        </is>
      </c>
      <c r="P13" s="531" t="inlineStr">
        <is>
          <t>O</t>
        </is>
      </c>
      <c r="Q13" s="531" t="inlineStr">
        <is>
          <t>O</t>
        </is>
      </c>
      <c r="R13" s="531" t="inlineStr">
        <is>
          <t>O</t>
        </is>
      </c>
      <c r="S13" s="531" t="n"/>
      <c r="T13" s="532" t="n"/>
    </row>
    <row r="14" ht="13.5" customHeight="1" s="354">
      <c r="A14" s="527" t="n"/>
      <c r="B14" s="528" t="n"/>
      <c r="C14" s="529" t="n"/>
      <c r="D14" s="530" t="inlineStr">
        <is>
          <t>does not exist</t>
        </is>
      </c>
      <c r="E14" s="534" t="n"/>
      <c r="F14" s="531" t="n"/>
      <c r="G14" s="531" t="inlineStr">
        <is>
          <t>O</t>
        </is>
      </c>
      <c r="H14" s="531" t="n"/>
      <c r="I14" s="531" t="n"/>
      <c r="J14" s="531" t="n"/>
      <c r="K14" s="531" t="n"/>
      <c r="L14" s="531" t="n"/>
      <c r="M14" s="531" t="n"/>
      <c r="N14" s="531" t="n"/>
      <c r="O14" s="531" t="n"/>
      <c r="P14" s="531" t="n"/>
      <c r="Q14" s="531" t="n"/>
      <c r="R14" s="531" t="n"/>
      <c r="S14" s="531" t="n"/>
      <c r="T14" s="532" t="n"/>
    </row>
    <row r="15" ht="13.5" customHeight="1" s="354">
      <c r="A15" s="527" t="n"/>
      <c r="B15" s="528" t="n"/>
      <c r="C15" s="529" t="n"/>
      <c r="D15" s="530" t="inlineStr">
        <is>
          <t>inactive</t>
        </is>
      </c>
      <c r="E15" s="534" t="n"/>
      <c r="F15" s="531" t="n"/>
      <c r="G15" s="531" t="n"/>
      <c r="H15" s="531" t="n"/>
      <c r="I15" s="531" t="n"/>
      <c r="J15" s="531" t="inlineStr">
        <is>
          <t>O</t>
        </is>
      </c>
      <c r="K15" s="531" t="n"/>
      <c r="L15" s="531" t="n"/>
      <c r="M15" s="531" t="n"/>
      <c r="N15" s="531" t="n"/>
      <c r="O15" s="531" t="n"/>
      <c r="P15" s="531" t="n"/>
      <c r="Q15" s="531" t="n"/>
      <c r="R15" s="531" t="n"/>
      <c r="S15" s="531" t="n"/>
      <c r="T15" s="532" t="n"/>
    </row>
    <row r="16" ht="13.5" customHeight="1" s="354">
      <c r="A16" s="527" t="n"/>
      <c r="B16" s="528" t="n"/>
      <c r="C16" s="529" t="n"/>
      <c r="D16" s="530" t="inlineStr">
        <is>
          <t>locked</t>
        </is>
      </c>
      <c r="E16" s="534" t="n"/>
      <c r="F16" s="531" t="n"/>
      <c r="G16" s="531" t="n"/>
      <c r="H16" s="531" t="n"/>
      <c r="I16" s="531" t="inlineStr">
        <is>
          <t>O</t>
        </is>
      </c>
      <c r="J16" s="531" t="n"/>
      <c r="K16" s="531" t="n"/>
      <c r="L16" s="531" t="n"/>
      <c r="M16" s="531" t="n"/>
      <c r="N16" s="531" t="n"/>
      <c r="O16" s="531" t="n"/>
      <c r="P16" s="531" t="n"/>
      <c r="Q16" s="531" t="n"/>
      <c r="R16" s="531" t="n"/>
      <c r="S16" s="531" t="n"/>
      <c r="T16" s="532" t="n"/>
    </row>
    <row r="17" ht="13.5" customHeight="1" s="354">
      <c r="A17" s="527" t="n"/>
      <c r="B17" s="528" t="n"/>
      <c r="C17" s="529" t="n"/>
      <c r="D17" s="530" t="inlineStr">
        <is>
          <t>temporary password &gt; 72 h</t>
        </is>
      </c>
      <c r="E17" s="534" t="n"/>
      <c r="F17" s="531" t="n"/>
      <c r="G17" s="531" t="n"/>
      <c r="H17" s="531" t="n"/>
      <c r="I17" s="531" t="n"/>
      <c r="J17" s="531" t="n"/>
      <c r="K17" s="531" t="inlineStr">
        <is>
          <t>O</t>
        </is>
      </c>
      <c r="L17" s="531" t="n"/>
      <c r="M17" s="531" t="n"/>
      <c r="N17" s="531" t="n"/>
      <c r="O17" s="531" t="n"/>
      <c r="P17" s="531" t="n"/>
      <c r="Q17" s="531" t="n"/>
      <c r="R17" s="531" t="n"/>
      <c r="S17" s="531" t="n"/>
      <c r="T17" s="532" t="n"/>
      <c r="U17" s="535" t="n"/>
    </row>
    <row r="18" ht="13.5" customHeight="1" s="354">
      <c r="A18" s="527" t="n"/>
      <c r="B18" s="528" t="inlineStr">
        <is>
          <t>Password</t>
        </is>
      </c>
      <c r="C18" s="529" t="n"/>
      <c r="D18" s="530" t="n"/>
      <c r="E18" s="534" t="n"/>
      <c r="F18" s="531" t="n"/>
      <c r="G18" s="531" t="n"/>
      <c r="H18" s="531" t="n"/>
      <c r="I18" s="531" t="n"/>
      <c r="J18" s="531" t="n"/>
      <c r="K18" s="531" t="n"/>
      <c r="L18" s="531" t="n"/>
      <c r="M18" s="531" t="n"/>
      <c r="N18" s="531" t="n"/>
      <c r="O18" s="531" t="n"/>
      <c r="P18" s="531" t="n"/>
      <c r="Q18" s="531" t="n"/>
      <c r="R18" s="531" t="n"/>
      <c r="S18" s="531" t="n"/>
      <c r="T18" s="532" t="n"/>
      <c r="U18" s="535" t="n"/>
    </row>
    <row r="19" ht="13.5" customHeight="1" s="354">
      <c r="A19" s="527" t="n"/>
      <c r="B19" s="528" t="n"/>
      <c r="C19" s="529" t="n"/>
      <c r="D19" s="530" t="inlineStr">
        <is>
          <t>correct</t>
        </is>
      </c>
      <c r="F19" s="531" t="inlineStr">
        <is>
          <t>O</t>
        </is>
      </c>
      <c r="G19" s="531" t="inlineStr">
        <is>
          <t>O</t>
        </is>
      </c>
      <c r="H19" s="531" t="n"/>
      <c r="I19" s="531" t="inlineStr">
        <is>
          <t>O</t>
        </is>
      </c>
      <c r="J19" s="531" t="inlineStr">
        <is>
          <t>O</t>
        </is>
      </c>
      <c r="K19" s="531" t="inlineStr">
        <is>
          <t>O</t>
        </is>
      </c>
      <c r="L19" s="531" t="inlineStr">
        <is>
          <t>O</t>
        </is>
      </c>
      <c r="M19" s="531" t="inlineStr">
        <is>
          <t>O</t>
        </is>
      </c>
      <c r="N19" s="531" t="inlineStr">
        <is>
          <t>O</t>
        </is>
      </c>
      <c r="O19" s="531" t="inlineStr">
        <is>
          <t>O</t>
        </is>
      </c>
      <c r="P19" s="531" t="inlineStr">
        <is>
          <t>O</t>
        </is>
      </c>
      <c r="Q19" s="531" t="inlineStr">
        <is>
          <t>O</t>
        </is>
      </c>
      <c r="R19" s="531" t="inlineStr">
        <is>
          <t>O</t>
        </is>
      </c>
      <c r="S19" s="531" t="n"/>
      <c r="T19" s="532" t="n"/>
    </row>
    <row r="20" ht="13.5" customHeight="1" s="354">
      <c r="A20" s="527" t="n"/>
      <c r="B20" s="528" t="n"/>
      <c r="C20" s="529" t="n"/>
      <c r="D20" s="530" t="inlineStr">
        <is>
          <t>wrong</t>
        </is>
      </c>
      <c r="E20" s="534" t="n"/>
      <c r="F20" s="531" t="n"/>
      <c r="G20" s="531" t="n"/>
      <c r="H20" s="531" t="inlineStr">
        <is>
          <t>O</t>
        </is>
      </c>
      <c r="I20" s="531" t="n"/>
      <c r="J20" s="531" t="n"/>
      <c r="K20" s="531" t="n"/>
      <c r="L20" s="531" t="n"/>
      <c r="M20" s="531" t="n"/>
      <c r="N20" s="531" t="n"/>
      <c r="O20" s="531" t="n"/>
      <c r="P20" s="531" t="n"/>
      <c r="Q20" s="531" t="n"/>
      <c r="R20" s="531" t="n"/>
      <c r="S20" s="531" t="n"/>
      <c r="T20" s="532" t="n"/>
    </row>
    <row r="21" ht="13.5" customHeight="1" s="354">
      <c r="A21" s="527" t="n"/>
      <c r="B21" s="528" t="inlineStr">
        <is>
          <t>Two-factor</t>
        </is>
      </c>
      <c r="C21" s="529" t="n"/>
      <c r="D21" s="530" t="n"/>
      <c r="E21" s="534" t="n"/>
      <c r="F21" s="531" t="n"/>
      <c r="G21" s="531" t="n"/>
      <c r="H21" s="531" t="n"/>
      <c r="I21" s="531" t="n"/>
      <c r="J21" s="531" t="n"/>
      <c r="K21" s="531" t="n"/>
      <c r="L21" s="531" t="n"/>
      <c r="M21" s="531" t="n"/>
      <c r="N21" s="531" t="n"/>
      <c r="O21" s="531" t="n"/>
      <c r="P21" s="531" t="n"/>
      <c r="Q21" s="531" t="n"/>
      <c r="R21" s="531" t="n"/>
      <c r="S21" s="531" t="n"/>
      <c r="T21" s="532" t="n"/>
    </row>
    <row r="22" ht="13.5" customHeight="1" s="354">
      <c r="A22" s="527" t="n"/>
      <c r="B22" s="528" t="n"/>
      <c r="C22" s="529" t="n"/>
      <c r="D22" s="530" t="inlineStr">
        <is>
          <t>disabled</t>
        </is>
      </c>
      <c r="E22" s="534" t="n"/>
      <c r="F22" s="531" t="inlineStr">
        <is>
          <t>O</t>
        </is>
      </c>
      <c r="G22" s="531" t="n"/>
      <c r="H22" s="531" t="n"/>
      <c r="I22" s="531" t="n"/>
      <c r="J22" s="531" t="n"/>
      <c r="K22" s="531" t="n"/>
      <c r="L22" s="531" t="n"/>
      <c r="M22" s="531" t="n"/>
      <c r="N22" s="531" t="n"/>
      <c r="O22" s="531" t="n"/>
      <c r="P22" s="531" t="n"/>
      <c r="Q22" s="531" t="n"/>
      <c r="R22" s="531" t="n"/>
      <c r="S22" s="531" t="n"/>
      <c r="T22" s="532" t="n"/>
    </row>
    <row r="23" ht="13.5" customHeight="1" s="354">
      <c r="A23" s="527" t="n"/>
      <c r="B23" s="528" t="n"/>
      <c r="C23" s="529" t="n"/>
      <c r="D23" s="530" t="inlineStr">
        <is>
          <t>enabled, no code</t>
        </is>
      </c>
      <c r="E23" s="534" t="n"/>
      <c r="F23" s="531" t="n"/>
      <c r="G23" s="531" t="n"/>
      <c r="H23" s="531" t="n"/>
      <c r="I23" s="531" t="n"/>
      <c r="J23" s="531" t="n"/>
      <c r="K23" s="531" t="n"/>
      <c r="L23" s="531" t="inlineStr">
        <is>
          <t>O</t>
        </is>
      </c>
      <c r="M23" s="531" t="n"/>
      <c r="N23" s="531" t="n"/>
      <c r="O23" s="531" t="n"/>
      <c r="P23" s="531" t="n"/>
      <c r="Q23" s="531" t="n"/>
      <c r="R23" s="531" t="n"/>
      <c r="S23" s="531" t="n"/>
      <c r="T23" s="532" t="n"/>
    </row>
    <row r="24" ht="13.5" customHeight="1" s="354">
      <c r="A24" s="527" t="n"/>
      <c r="B24" s="528" t="n"/>
      <c r="C24" s="529" t="n"/>
      <c r="D24" s="530" t="inlineStr">
        <is>
          <t>enabled, wrong TOTP</t>
        </is>
      </c>
      <c r="E24" s="534" t="n"/>
      <c r="F24" s="531" t="n"/>
      <c r="G24" s="531" t="n"/>
      <c r="H24" s="531" t="n"/>
      <c r="I24" s="531" t="n"/>
      <c r="J24" s="531" t="n"/>
      <c r="K24" s="531" t="n"/>
      <c r="L24" s="531" t="n"/>
      <c r="M24" s="531" t="inlineStr">
        <is>
          <t>O</t>
        </is>
      </c>
      <c r="N24" s="531" t="n"/>
      <c r="O24" s="531" t="n"/>
      <c r="P24" s="531" t="n"/>
      <c r="Q24" s="531" t="n"/>
      <c r="R24" s="531" t="n"/>
      <c r="S24" s="531" t="n"/>
      <c r="T24" s="532" t="n"/>
    </row>
    <row r="25" ht="13.5" customHeight="1" s="354">
      <c r="A25" s="527" t="n"/>
      <c r="B25" s="528" t="n"/>
      <c r="C25" s="529" t="n"/>
      <c r="D25" s="530" t="inlineStr">
        <is>
          <t>enabled, valid TOTP</t>
        </is>
      </c>
      <c r="E25" s="534" t="n"/>
      <c r="F25" s="531" t="n"/>
      <c r="G25" s="531" t="n"/>
      <c r="H25" s="531" t="n"/>
      <c r="I25" s="531" t="n"/>
      <c r="J25" s="531" t="n"/>
      <c r="K25" s="531" t="n"/>
      <c r="L25" s="531" t="n"/>
      <c r="M25" s="531" t="n"/>
      <c r="N25" s="531" t="inlineStr">
        <is>
          <t>O</t>
        </is>
      </c>
      <c r="O25" s="531" t="n"/>
      <c r="P25" s="531" t="n"/>
      <c r="Q25" s="531" t="n"/>
      <c r="R25" s="531" t="n"/>
      <c r="S25" s="531" t="n"/>
      <c r="T25" s="532" t="n"/>
    </row>
    <row r="26" ht="13.5" customHeight="1" s="354">
      <c r="A26" s="527" t="n"/>
      <c r="B26" s="528" t="n"/>
      <c r="C26" s="529" t="n"/>
      <c r="D26" s="530" t="inlineStr">
        <is>
          <t>enabled, MFA secret empty</t>
        </is>
      </c>
      <c r="E26" s="534" t="n"/>
      <c r="F26" s="531" t="n"/>
      <c r="G26" s="531" t="n"/>
      <c r="H26" s="531" t="n"/>
      <c r="I26" s="531" t="n"/>
      <c r="J26" s="531" t="n"/>
      <c r="K26" s="531" t="n"/>
      <c r="L26" s="531" t="n"/>
      <c r="M26" s="531" t="n"/>
      <c r="N26" s="531" t="n"/>
      <c r="O26" s="531" t="inlineStr">
        <is>
          <t>O</t>
        </is>
      </c>
      <c r="P26" s="531" t="n"/>
      <c r="Q26" s="531" t="n"/>
      <c r="R26" s="531" t="n"/>
      <c r="S26" s="531" t="n"/>
      <c r="T26" s="532" t="n"/>
    </row>
    <row r="27" ht="13.5" customHeight="1" s="354">
      <c r="A27" s="527" t="n"/>
      <c r="B27" s="528" t="n"/>
      <c r="C27" s="529" t="n"/>
      <c r="D27" s="530" t="inlineStr">
        <is>
          <t>enabled, trusted device</t>
        </is>
      </c>
      <c r="E27" s="534" t="n"/>
      <c r="F27" s="531" t="n"/>
      <c r="G27" s="531" t="n"/>
      <c r="H27" s="531" t="n"/>
      <c r="I27" s="531" t="n"/>
      <c r="J27" s="531" t="n"/>
      <c r="K27" s="531" t="n"/>
      <c r="L27" s="531" t="n"/>
      <c r="M27" s="531" t="n"/>
      <c r="N27" s="531" t="n"/>
      <c r="O27" s="531" t="n"/>
      <c r="P27" s="531" t="inlineStr">
        <is>
          <t>O</t>
        </is>
      </c>
      <c r="Q27" s="531" t="n"/>
      <c r="R27" s="531" t="n"/>
      <c r="S27" s="531" t="n"/>
      <c r="T27" s="532" t="n"/>
    </row>
    <row r="28" ht="13.5" customHeight="1" s="354">
      <c r="A28" s="527" t="n"/>
      <c r="B28" s="528" t="n"/>
      <c r="C28" s="529" t="n"/>
      <c r="D28" s="530" t="inlineStr">
        <is>
          <t>enabled, valid backup code</t>
        </is>
      </c>
      <c r="E28" s="534" t="n"/>
      <c r="F28" s="531" t="n"/>
      <c r="G28" s="531" t="n"/>
      <c r="H28" s="531" t="n"/>
      <c r="I28" s="531" t="n"/>
      <c r="J28" s="531" t="n"/>
      <c r="K28" s="531" t="n"/>
      <c r="L28" s="531" t="n"/>
      <c r="M28" s="531" t="n"/>
      <c r="N28" s="531" t="n"/>
      <c r="O28" s="531" t="n"/>
      <c r="P28" s="531" t="n"/>
      <c r="Q28" s="531" t="inlineStr">
        <is>
          <t>O</t>
        </is>
      </c>
      <c r="R28" s="531" t="n"/>
      <c r="S28" s="531" t="n"/>
      <c r="T28" s="532" t="n"/>
    </row>
    <row r="29" ht="13.5" customHeight="1" s="354">
      <c r="A29" s="527" t="n"/>
      <c r="B29" s="528" t="n"/>
      <c r="C29" s="529" t="n"/>
      <c r="D29" s="530" t="inlineStr">
        <is>
          <t>enabled, wrong backup code</t>
        </is>
      </c>
      <c r="E29" s="534" t="n"/>
      <c r="F29" s="531" t="n"/>
      <c r="G29" s="531" t="n"/>
      <c r="H29" s="531" t="n"/>
      <c r="I29" s="531" t="n"/>
      <c r="J29" s="531" t="n"/>
      <c r="K29" s="531" t="n"/>
      <c r="L29" s="531" t="n"/>
      <c r="M29" s="531" t="n"/>
      <c r="N29" s="531" t="n"/>
      <c r="O29" s="531" t="n"/>
      <c r="P29" s="531" t="n"/>
      <c r="Q29" s="531" t="n"/>
      <c r="R29" s="531" t="inlineStr">
        <is>
          <t>O</t>
        </is>
      </c>
      <c r="S29" s="531" t="n"/>
      <c r="T29" s="532" t="n"/>
    </row>
    <row r="30" ht="13.5" customHeight="1" s="354">
      <c r="A30" s="536" t="inlineStr">
        <is>
          <t>Confirm</t>
        </is>
      </c>
      <c r="B30" s="537" t="inlineStr">
        <is>
          <t>Return</t>
        </is>
      </c>
      <c r="C30" s="538" t="n"/>
      <c r="D30" s="539" t="n"/>
      <c r="E30" s="540" t="n"/>
      <c r="F30" s="541" t="n"/>
      <c r="G30" s="541" t="n"/>
      <c r="H30" s="541" t="n"/>
      <c r="I30" s="541" t="n"/>
      <c r="J30" s="541" t="n"/>
      <c r="K30" s="541" t="n"/>
      <c r="L30" s="541" t="n"/>
      <c r="M30" s="541" t="n"/>
      <c r="N30" s="541" t="n"/>
      <c r="O30" s="541" t="n"/>
      <c r="P30" s="541" t="n"/>
      <c r="Q30" s="541" t="n"/>
      <c r="R30" s="541" t="n"/>
      <c r="S30" s="541" t="n"/>
      <c r="T30" s="542" t="n"/>
    </row>
    <row r="31" ht="13.5" customHeight="1" s="354">
      <c r="A31" s="536" t="n"/>
      <c r="B31" s="537" t="n"/>
      <c r="C31" s="543" t="n"/>
      <c r="D31" s="544" t="inlineStr">
        <is>
          <t>token pair</t>
        </is>
      </c>
      <c r="E31" s="545" t="n"/>
      <c r="F31" s="531" t="inlineStr">
        <is>
          <t>O</t>
        </is>
      </c>
      <c r="G31" s="531" t="n"/>
      <c r="H31" s="531" t="n"/>
      <c r="I31" s="531" t="n"/>
      <c r="J31" s="531" t="n"/>
      <c r="K31" s="531" t="n"/>
      <c r="L31" s="531" t="n"/>
      <c r="M31" s="531" t="n"/>
      <c r="N31" s="531" t="inlineStr">
        <is>
          <t>O</t>
        </is>
      </c>
      <c r="O31" s="531" t="n"/>
      <c r="P31" s="531" t="inlineStr">
        <is>
          <t>O</t>
        </is>
      </c>
      <c r="Q31" s="531" t="inlineStr">
        <is>
          <t>O</t>
        </is>
      </c>
      <c r="R31" s="531" t="n"/>
      <c r="S31" s="525" t="n"/>
      <c r="T31" s="526" t="n"/>
    </row>
    <row r="32" ht="13.5" customHeight="1" s="354">
      <c r="A32" s="546" t="n"/>
      <c r="B32" s="547" t="n"/>
      <c r="C32" s="548" t="n"/>
      <c r="D32" s="544" t="inlineStr">
        <is>
          <t>{ mfa_required: true }</t>
        </is>
      </c>
      <c r="E32" s="549" t="n"/>
      <c r="F32" s="531" t="n"/>
      <c r="G32" s="531" t="n"/>
      <c r="H32" s="531" t="n"/>
      <c r="I32" s="531" t="n"/>
      <c r="J32" s="531" t="n"/>
      <c r="K32" s="531" t="n"/>
      <c r="L32" s="531" t="inlineStr">
        <is>
          <t>O</t>
        </is>
      </c>
      <c r="M32" s="531" t="n"/>
      <c r="N32" s="531" t="n"/>
      <c r="O32" s="531" t="n"/>
      <c r="P32" s="531" t="n"/>
      <c r="Q32" s="531" t="n"/>
      <c r="R32" s="531" t="n"/>
      <c r="S32" s="531" t="n"/>
      <c r="T32" s="532" t="n"/>
    </row>
    <row r="33" ht="13.5" customHeight="1" s="354">
      <c r="A33" s="546" t="n"/>
      <c r="B33" s="547" t="n"/>
      <c r="C33" s="550" t="n"/>
      <c r="D33" s="544" t="inlineStr">
        <is>
          <t>new trusted_device_token</t>
        </is>
      </c>
      <c r="E33" s="551" t="n"/>
      <c r="F33" s="531" t="n"/>
      <c r="G33" s="531" t="n"/>
      <c r="H33" s="531" t="n"/>
      <c r="I33" s="531" t="n"/>
      <c r="J33" s="531" t="n"/>
      <c r="K33" s="531" t="n"/>
      <c r="L33" s="531" t="n"/>
      <c r="M33" s="531" t="n"/>
      <c r="N33" s="531" t="inlineStr">
        <is>
          <t>O</t>
        </is>
      </c>
      <c r="O33" s="531" t="n"/>
      <c r="P33" s="531" t="n"/>
      <c r="Q33" s="531" t="n"/>
      <c r="R33" s="531" t="n"/>
      <c r="S33" s="531" t="n"/>
      <c r="T33" s="532" t="n"/>
    </row>
    <row r="34" ht="13.5" customHeight="1" s="354">
      <c r="A34" s="546" t="n"/>
      <c r="B34" s="547" t="n"/>
      <c r="C34" s="550" t="n"/>
      <c r="D34" s="544" t="inlineStr">
        <is>
          <t>backup code removed</t>
        </is>
      </c>
      <c r="E34" s="551" t="n"/>
      <c r="F34" s="531" t="n"/>
      <c r="G34" s="531" t="n"/>
      <c r="H34" s="531" t="n"/>
      <c r="I34" s="531" t="n"/>
      <c r="J34" s="531" t="n"/>
      <c r="K34" s="531" t="n"/>
      <c r="L34" s="531" t="n"/>
      <c r="M34" s="531" t="n"/>
      <c r="N34" s="531" t="n"/>
      <c r="O34" s="531" t="n"/>
      <c r="P34" s="531" t="n"/>
      <c r="Q34" s="531" t="inlineStr">
        <is>
          <t>O</t>
        </is>
      </c>
      <c r="R34" s="531" t="n"/>
      <c r="S34" s="531" t="n"/>
      <c r="T34" s="532" t="n"/>
    </row>
    <row r="35" ht="13.5" customHeight="1" s="354">
      <c r="A35" s="546" t="n"/>
      <c r="B35" s="537" t="inlineStr">
        <is>
          <t>Exception</t>
        </is>
      </c>
      <c r="C35" s="550" t="n"/>
      <c r="D35" s="544" t="n"/>
      <c r="E35" s="551" t="n"/>
      <c r="F35" s="531" t="n"/>
      <c r="G35" s="531" t="n"/>
      <c r="H35" s="531" t="n"/>
      <c r="I35" s="531" t="n"/>
      <c r="J35" s="531" t="n"/>
      <c r="K35" s="531" t="n"/>
      <c r="L35" s="531" t="n"/>
      <c r="M35" s="531" t="n"/>
      <c r="N35" s="531" t="n"/>
      <c r="O35" s="531" t="n"/>
      <c r="P35" s="531" t="n"/>
      <c r="Q35" s="531" t="n"/>
      <c r="R35" s="531" t="n"/>
      <c r="S35" s="531" t="n"/>
      <c r="T35" s="532" t="n"/>
    </row>
    <row r="36" ht="13.5" customHeight="1" s="354">
      <c r="A36" s="546" t="n"/>
      <c r="B36" s="547" t="n"/>
      <c r="C36" s="550" t="n"/>
      <c r="D36" s="544" t="inlineStr">
        <is>
          <t>401 Unauthorized</t>
        </is>
      </c>
      <c r="E36" s="551" t="n"/>
      <c r="F36" s="531" t="n"/>
      <c r="G36" s="531" t="inlineStr">
        <is>
          <t>O</t>
        </is>
      </c>
      <c r="H36" s="531" t="inlineStr">
        <is>
          <t>O</t>
        </is>
      </c>
      <c r="I36" s="531" t="n"/>
      <c r="J36" s="531" t="inlineStr">
        <is>
          <t>O</t>
        </is>
      </c>
      <c r="K36" s="531" t="n"/>
      <c r="L36" s="531" t="n"/>
      <c r="M36" s="531" t="inlineStr">
        <is>
          <t>O</t>
        </is>
      </c>
      <c r="N36" s="531" t="n"/>
      <c r="O36" s="531" t="inlineStr">
        <is>
          <t>O</t>
        </is>
      </c>
      <c r="P36" s="531" t="n"/>
      <c r="Q36" s="531" t="n"/>
      <c r="R36" s="531" t="inlineStr">
        <is>
          <t>O</t>
        </is>
      </c>
      <c r="S36" s="531" t="n"/>
      <c r="T36" s="532" t="n"/>
    </row>
    <row r="37" ht="13.5" customHeight="1" s="354">
      <c r="A37" s="546" t="n"/>
      <c r="B37" s="547" t="n"/>
      <c r="C37" s="550" t="n"/>
      <c r="D37" s="544" t="inlineStr">
        <is>
          <t>403 AUTH_ACCOUNT_LOCKED</t>
        </is>
      </c>
      <c r="E37" s="551" t="n"/>
      <c r="F37" s="531" t="n"/>
      <c r="G37" s="531" t="n"/>
      <c r="H37" s="531" t="n"/>
      <c r="I37" s="531" t="inlineStr">
        <is>
          <t>O</t>
        </is>
      </c>
      <c r="J37" s="531" t="n"/>
      <c r="K37" s="531" t="n"/>
      <c r="L37" s="531" t="n"/>
      <c r="M37" s="531" t="n"/>
      <c r="N37" s="531" t="n"/>
      <c r="O37" s="531" t="n"/>
      <c r="P37" s="531" t="n"/>
      <c r="Q37" s="531" t="n"/>
      <c r="R37" s="531" t="n"/>
      <c r="S37" s="531" t="n"/>
      <c r="T37" s="532" t="n"/>
    </row>
    <row r="38" ht="13.5" customHeight="1" s="354">
      <c r="A38" s="546" t="n"/>
      <c r="B38" s="552" t="n"/>
      <c r="C38" s="553" t="n"/>
      <c r="D38" s="544" t="inlineStr">
        <is>
          <t>403 password deadline</t>
        </is>
      </c>
      <c r="E38" s="554" t="n"/>
      <c r="F38" s="531" t="n"/>
      <c r="G38" s="531" t="n"/>
      <c r="H38" s="531" t="n"/>
      <c r="I38" s="531" t="n"/>
      <c r="J38" s="531" t="n"/>
      <c r="K38" s="531" t="inlineStr">
        <is>
          <t>O</t>
        </is>
      </c>
      <c r="L38" s="531" t="n"/>
      <c r="M38" s="531" t="n"/>
      <c r="N38" s="531" t="n"/>
      <c r="O38" s="531" t="n"/>
      <c r="P38" s="531" t="n"/>
      <c r="Q38" s="531" t="n"/>
      <c r="R38" s="531" t="n"/>
      <c r="S38" s="555" t="n"/>
      <c r="T38" s="556" t="n"/>
    </row>
    <row r="39" ht="13.5" customHeight="1" s="354">
      <c r="A39" s="536" t="n"/>
      <c r="B39" s="537" t="inlineStr">
        <is>
          <t>Log message</t>
        </is>
      </c>
      <c r="E39" s="557" t="n"/>
      <c r="F39" s="558" t="n"/>
      <c r="G39" s="558" t="n"/>
      <c r="H39" s="558" t="n"/>
      <c r="I39" s="558" t="n"/>
      <c r="J39" s="558" t="n"/>
      <c r="K39" s="558" t="n"/>
      <c r="L39" s="558" t="n"/>
      <c r="M39" s="558" t="n"/>
      <c r="N39" s="558" t="n"/>
      <c r="O39" s="558" t="n"/>
      <c r="P39" s="558" t="n"/>
      <c r="Q39" s="558" t="n"/>
      <c r="R39" s="558" t="n"/>
      <c r="S39" s="558" t="n"/>
      <c r="T39" s="559" t="n"/>
    </row>
    <row r="40" ht="13.5" customHeight="1" s="354">
      <c r="A40" s="546" t="n"/>
      <c r="B40" s="560" t="n"/>
      <c r="D40" s="544" t="inlineStr">
        <is>
          <t>Test name in auth.service.spec.ts (line)</t>
        </is>
      </c>
      <c r="E40" s="561" t="n"/>
      <c r="F40" s="531" t="inlineStr">
        <is>
          <t>line 115</t>
        </is>
      </c>
      <c r="G40" s="531" t="inlineStr">
        <is>
          <t>line 140</t>
        </is>
      </c>
      <c r="H40" s="531" t="inlineStr">
        <is>
          <t>line 153</t>
        </is>
      </c>
      <c r="I40" s="531" t="inlineStr">
        <is>
          <t>line 170</t>
        </is>
      </c>
      <c r="J40" s="531" t="inlineStr">
        <is>
          <t>line 181</t>
        </is>
      </c>
      <c r="K40" s="531" t="inlineStr">
        <is>
          <t>line 197</t>
        </is>
      </c>
      <c r="L40" s="531" t="inlineStr">
        <is>
          <t>line 217</t>
        </is>
      </c>
      <c r="M40" s="531" t="inlineStr">
        <is>
          <t>line 235</t>
        </is>
      </c>
      <c r="N40" s="531" t="inlineStr">
        <is>
          <t>line 254</t>
        </is>
      </c>
      <c r="O40" s="531" t="inlineStr">
        <is>
          <t>line 276</t>
        </is>
      </c>
      <c r="P40" s="531" t="inlineStr">
        <is>
          <t>line 295</t>
        </is>
      </c>
      <c r="Q40" s="531" t="inlineStr">
        <is>
          <t>line 317</t>
        </is>
      </c>
      <c r="R40" s="531" t="inlineStr">
        <is>
          <t>line 338</t>
        </is>
      </c>
      <c r="S40" s="562" t="n"/>
      <c r="T40" s="563" t="n"/>
    </row>
    <row r="41" ht="13.5" customHeight="1" s="354">
      <c r="A41" s="536" t="inlineStr">
        <is>
          <t>Result</t>
        </is>
      </c>
      <c r="B41" s="557" t="inlineStr">
        <is>
          <t>Type(N : Normal, A : Abnormal, B : Boundary)</t>
        </is>
      </c>
      <c r="E41" s="564" t="n"/>
      <c r="F41" s="558" t="inlineStr">
        <is>
          <t>N</t>
        </is>
      </c>
      <c r="G41" s="558" t="inlineStr">
        <is>
          <t>A</t>
        </is>
      </c>
      <c r="H41" s="558" t="inlineStr">
        <is>
          <t>A</t>
        </is>
      </c>
      <c r="I41" s="558" t="inlineStr">
        <is>
          <t>A</t>
        </is>
      </c>
      <c r="J41" s="558" t="inlineStr">
        <is>
          <t>A</t>
        </is>
      </c>
      <c r="K41" s="558" t="inlineStr">
        <is>
          <t>B</t>
        </is>
      </c>
      <c r="L41" s="558" t="inlineStr">
        <is>
          <t>N</t>
        </is>
      </c>
      <c r="M41" s="558" t="inlineStr">
        <is>
          <t>A</t>
        </is>
      </c>
      <c r="N41" s="558" t="inlineStr">
        <is>
          <t>N</t>
        </is>
      </c>
      <c r="O41" s="558" t="inlineStr">
        <is>
          <t>A</t>
        </is>
      </c>
      <c r="P41" s="558" t="inlineStr">
        <is>
          <t>N</t>
        </is>
      </c>
      <c r="Q41" s="558" t="inlineStr">
        <is>
          <t>N</t>
        </is>
      </c>
      <c r="R41" s="558" t="inlineStr">
        <is>
          <t>A</t>
        </is>
      </c>
      <c r="S41" s="565" t="n"/>
      <c r="T41" s="566" t="n"/>
    </row>
    <row r="42" ht="80" customHeight="1" s="354">
      <c r="A42" s="567" t="n"/>
      <c r="B42" s="557" t="inlineStr">
        <is>
          <t>Passed/Failed</t>
        </is>
      </c>
      <c r="E42" s="568" t="n"/>
      <c r="F42" s="562" t="inlineStr">
        <is>
          <t>P</t>
        </is>
      </c>
      <c r="G42" s="562" t="inlineStr">
        <is>
          <t>P</t>
        </is>
      </c>
      <c r="H42" s="562" t="inlineStr">
        <is>
          <t>P</t>
        </is>
      </c>
      <c r="I42" s="562" t="inlineStr">
        <is>
          <t>P</t>
        </is>
      </c>
      <c r="J42" s="562" t="inlineStr">
        <is>
          <t>P</t>
        </is>
      </c>
      <c r="K42" s="562" t="inlineStr">
        <is>
          <t>P</t>
        </is>
      </c>
      <c r="L42" s="562" t="inlineStr">
        <is>
          <t>P</t>
        </is>
      </c>
      <c r="M42" s="562" t="inlineStr">
        <is>
          <t>P</t>
        </is>
      </c>
      <c r="N42" s="562" t="inlineStr">
        <is>
          <t>P</t>
        </is>
      </c>
      <c r="O42" s="562" t="inlineStr">
        <is>
          <t>P</t>
        </is>
      </c>
      <c r="P42" s="562" t="inlineStr">
        <is>
          <t>P</t>
        </is>
      </c>
      <c r="Q42" s="562" t="inlineStr">
        <is>
          <t>P</t>
        </is>
      </c>
      <c r="R42" s="562" t="inlineStr">
        <is>
          <t>P</t>
        </is>
      </c>
      <c r="S42" s="569" t="n"/>
      <c r="T42" s="570" t="n"/>
    </row>
    <row r="43" ht="12" customHeight="1" s="354">
      <c r="A43" s="571" t="n"/>
      <c r="B43" s="557" t="inlineStr">
        <is>
          <t>Executed Date</t>
        </is>
      </c>
      <c r="F43" s="531" t="inlineStr">
        <is>
          <t>25/10/2026</t>
        </is>
      </c>
      <c r="G43" s="531" t="inlineStr">
        <is>
          <t>25/10/2026</t>
        </is>
      </c>
      <c r="H43" s="531" t="inlineStr">
        <is>
          <t>25/10/2026</t>
        </is>
      </c>
      <c r="I43" s="531" t="inlineStr">
        <is>
          <t>25/10/2026</t>
        </is>
      </c>
      <c r="J43" s="531" t="inlineStr">
        <is>
          <t>25/10/2026</t>
        </is>
      </c>
      <c r="K43" s="531" t="inlineStr">
        <is>
          <t>25/10/2026</t>
        </is>
      </c>
      <c r="L43" s="531" t="inlineStr">
        <is>
          <t>25/10/2026</t>
        </is>
      </c>
      <c r="M43" s="531" t="inlineStr">
        <is>
          <t>25/10/2026</t>
        </is>
      </c>
      <c r="N43" s="531" t="inlineStr">
        <is>
          <t>25/10/2026</t>
        </is>
      </c>
      <c r="O43" s="531" t="inlineStr">
        <is>
          <t>25/10/2026</t>
        </is>
      </c>
      <c r="P43" s="531" t="inlineStr">
        <is>
          <t>25/10/2026</t>
        </is>
      </c>
      <c r="Q43" s="531" t="inlineStr">
        <is>
          <t>25/10/2026</t>
        </is>
      </c>
      <c r="R43" s="531" t="inlineStr">
        <is>
          <t>25/10/2026</t>
        </is>
      </c>
    </row>
  </sheetData>
  <mergeCells count="23">
    <mergeCell ref="F2:K2"/>
    <mergeCell ref="A6:B6"/>
    <mergeCell ref="C4:D4"/>
    <mergeCell ref="C2:E2"/>
    <mergeCell ref="L4:T4"/>
    <mergeCell ref="A7:B7"/>
    <mergeCell ref="C7:E7"/>
    <mergeCell ref="L6:N6"/>
    <mergeCell ref="A3:B3"/>
    <mergeCell ref="A2:B2"/>
    <mergeCell ref="A5:B5"/>
    <mergeCell ref="C3:E3"/>
    <mergeCell ref="O7:T7"/>
    <mergeCell ref="F4:K4"/>
    <mergeCell ref="C6:E6"/>
    <mergeCell ref="A4:B4"/>
    <mergeCell ref="L2:T2"/>
    <mergeCell ref="O6:T6"/>
    <mergeCell ref="F6:K6"/>
    <mergeCell ref="C5:T5"/>
    <mergeCell ref="F7:K7"/>
    <mergeCell ref="L3:N3"/>
    <mergeCell ref="F3:K3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W44"/>
  <sheetViews>
    <sheetView workbookViewId="0">
      <selection activeCell="A1" sqref="A1"/>
    </sheetView>
  </sheetViews>
  <sheetFormatPr baseColWidth="8" defaultColWidth="8.99609375" defaultRowHeight="13.5" zeroHeight="0" outlineLevelRow="0"/>
  <cols>
    <col width="8.16" customWidth="1" style="474" min="1" max="1"/>
    <col width="13.32" customWidth="1" style="475" min="2" max="2"/>
    <col width="10.82" customWidth="1" style="474" min="3" max="3"/>
    <col width="34" customWidth="1" style="476" min="4" max="4"/>
    <col hidden="1" width="1.82" customWidth="1" style="474" min="5" max="5"/>
    <col width="10" customWidth="1" style="474" min="6" max="21"/>
    <col width="10" customWidth="1" style="354" min="7" max="7"/>
    <col width="10" customWidth="1" style="354" min="8" max="8"/>
    <col width="10" customWidth="1" style="354" min="9" max="9"/>
    <col width="10" customWidth="1" style="354" min="10" max="10"/>
    <col width="10" customWidth="1" style="354" min="11" max="11"/>
    <col width="10" customWidth="1" style="354" min="12" max="12"/>
    <col width="10" customWidth="1" style="354" min="13" max="13"/>
    <col width="8.99" customWidth="1" style="474" min="22" max="257"/>
  </cols>
  <sheetData>
    <row r="1" ht="13.5" customHeight="1" s="354">
      <c r="A1" s="477" t="n"/>
      <c r="B1" s="478" t="n"/>
    </row>
    <row r="2" ht="13.5" customHeight="1" s="354">
      <c r="A2" s="479" t="inlineStr">
        <is>
          <t>Function Code</t>
        </is>
      </c>
      <c r="B2" s="480" t="n"/>
      <c r="C2" s="481" t="inlineStr">
        <is>
          <t>UT-PICK-ITEM</t>
        </is>
      </c>
      <c r="D2" s="480" t="n"/>
      <c r="E2" s="482" t="n"/>
      <c r="F2" s="483" t="inlineStr">
        <is>
          <t>Function Name</t>
        </is>
      </c>
      <c r="G2" s="484" t="n"/>
      <c r="H2" s="484" t="n"/>
      <c r="I2" s="484" t="n"/>
      <c r="J2" s="484" t="n"/>
      <c r="K2" s="484" t="n"/>
      <c r="L2" s="485" t="inlineStr">
        <is>
          <t>OrderGroupsService.pickItem</t>
        </is>
      </c>
      <c r="M2" s="480" t="n"/>
      <c r="N2" s="480" t="n"/>
      <c r="O2" s="480" t="n"/>
      <c r="P2" s="480" t="n"/>
      <c r="Q2" s="480" t="n"/>
      <c r="R2" s="480" t="n"/>
      <c r="S2" s="480" t="n"/>
      <c r="T2" s="486" t="n"/>
      <c r="V2" s="487" t="n"/>
    </row>
    <row r="3" ht="13.5" customHeight="1" s="354">
      <c r="A3" s="488" t="inlineStr">
        <is>
          <t>Created By</t>
        </is>
      </c>
      <c r="B3" s="369" t="n"/>
      <c r="C3" s="489" t="inlineStr">
        <is>
          <t>Thi, Thuận</t>
        </is>
      </c>
      <c r="D3" s="490" t="n"/>
      <c r="E3" s="491" t="n"/>
      <c r="F3" s="492" t="inlineStr">
        <is>
          <t>Executed By</t>
        </is>
      </c>
      <c r="G3" s="368" t="n"/>
      <c r="H3" s="368" t="n"/>
      <c r="I3" s="368" t="n"/>
      <c r="J3" s="368" t="n"/>
      <c r="K3" s="369" t="n"/>
      <c r="L3" s="493" t="inlineStr">
        <is>
          <t>GitHub Actions CI (run #258, commit 1a3101c)</t>
        </is>
      </c>
      <c r="M3" s="490" t="n"/>
      <c r="N3" s="490" t="n"/>
      <c r="O3" s="494" t="n"/>
      <c r="P3" s="494" t="n"/>
      <c r="Q3" s="494" t="n"/>
      <c r="R3" s="494" t="n"/>
      <c r="S3" s="494" t="n"/>
      <c r="T3" s="495" t="n"/>
    </row>
    <row r="4" ht="13.5" customHeight="1" s="354">
      <c r="A4" s="488" t="inlineStr">
        <is>
          <t>Lines  of code</t>
        </is>
      </c>
      <c r="B4" s="369" t="n"/>
      <c r="C4" s="496" t="n">
        <v>207</v>
      </c>
      <c r="D4" s="368" t="n"/>
      <c r="E4" s="497" t="n"/>
      <c r="F4" s="492" t="inlineStr">
        <is>
          <t>Lack of test cases</t>
        </is>
      </c>
      <c r="G4" s="368" t="n"/>
      <c r="H4" s="368" t="n"/>
      <c r="I4" s="368" t="n"/>
      <c r="J4" s="368" t="n"/>
      <c r="K4" s="369" t="n"/>
      <c r="L4" s="498">
        <f>IF(Functions!E6&lt;&gt;"N/A",SUM(C4*Functions!E6/1000,-O7),"N/A")</f>
        <v/>
      </c>
      <c r="M4" s="368" t="n"/>
      <c r="N4" s="368" t="n"/>
      <c r="O4" s="368" t="n"/>
      <c r="P4" s="368" t="n"/>
      <c r="Q4" s="368" t="n"/>
      <c r="R4" s="368" t="n"/>
      <c r="S4" s="368" t="n"/>
      <c r="T4" s="499" t="n"/>
      <c r="V4" s="487" t="n"/>
    </row>
    <row r="5" ht="13.5" customHeight="1" s="354">
      <c r="A5" s="488" t="inlineStr">
        <is>
          <t>Test requirement</t>
        </is>
      </c>
      <c r="B5" s="369" t="n"/>
      <c r="C5" s="500" t="inlineStr">
        <is>
          <t>Scan one item while picking: SKU of the group, ordered quantity, FIFO lot, idempotent scan – SRS 3.5.1. Test file: be/src/modules/order-groups/order-groups.service.pickItem.spec.ts; source: be/src/modules/order-groups/order-groups.service.ts</t>
        </is>
      </c>
      <c r="D5" s="368" t="n"/>
      <c r="E5" s="368" t="n"/>
      <c r="F5" s="368" t="n"/>
      <c r="G5" s="368" t="n"/>
      <c r="H5" s="368" t="n"/>
      <c r="I5" s="368" t="n"/>
      <c r="J5" s="368" t="n"/>
      <c r="K5" s="368" t="n"/>
      <c r="L5" s="368" t="n"/>
      <c r="M5" s="368" t="n"/>
      <c r="N5" s="368" t="n"/>
      <c r="O5" s="368" t="n"/>
      <c r="P5" s="368" t="n"/>
      <c r="Q5" s="368" t="n"/>
      <c r="R5" s="368" t="n"/>
      <c r="S5" s="368" t="n"/>
      <c r="T5" s="499" t="n"/>
    </row>
    <row r="6" ht="13.5" customHeight="1" s="354">
      <c r="A6" s="501" t="inlineStr">
        <is>
          <t>Passed</t>
        </is>
      </c>
      <c r="B6" s="369" t="n"/>
      <c r="C6" s="502" t="inlineStr">
        <is>
          <t>Failed</t>
        </is>
      </c>
      <c r="D6" s="368" t="n"/>
      <c r="E6" s="369" t="n"/>
      <c r="F6" s="502" t="inlineStr">
        <is>
          <t>Untested</t>
        </is>
      </c>
      <c r="G6" s="368" t="n"/>
      <c r="H6" s="368" t="n"/>
      <c r="I6" s="368" t="n"/>
      <c r="J6" s="368" t="n"/>
      <c r="K6" s="369" t="n"/>
      <c r="L6" s="503" t="inlineStr">
        <is>
          <t>N/A/B</t>
        </is>
      </c>
      <c r="M6" s="368" t="n"/>
      <c r="N6" s="368" t="n"/>
      <c r="O6" s="504" t="inlineStr">
        <is>
          <t>Total Test Cases</t>
        </is>
      </c>
      <c r="P6" s="368" t="n"/>
      <c r="Q6" s="368" t="n"/>
      <c r="R6" s="368" t="n"/>
      <c r="S6" s="368" t="n"/>
      <c r="T6" s="499" t="n"/>
      <c r="V6" s="487" t="n"/>
    </row>
    <row r="7" ht="13.5" customHeight="1" s="354">
      <c r="A7" s="505">
        <f>COUNTIF(F43:M43,"P")</f>
        <v/>
      </c>
      <c r="B7" s="506" t="n"/>
      <c r="C7" s="507">
        <f>COUNTIF(F43:M43,"F")</f>
        <v/>
      </c>
      <c r="D7" s="508" t="n"/>
      <c r="E7" s="506" t="n"/>
      <c r="F7" s="507">
        <f>SUM(O7,-A7,-C7)</f>
        <v/>
      </c>
      <c r="G7" s="508" t="n"/>
      <c r="H7" s="508" t="n"/>
      <c r="I7" s="508" t="n"/>
      <c r="J7" s="508" t="n"/>
      <c r="K7" s="506" t="n"/>
      <c r="L7" s="509">
        <f>COUNTIF(F42:M42,"N")</f>
        <v/>
      </c>
      <c r="M7" s="509">
        <f>COUNTIF(F42:M42,"A")</f>
        <v/>
      </c>
      <c r="N7" s="509">
        <f>COUNTIF(F42:M42,"B")</f>
        <v/>
      </c>
      <c r="O7" s="510">
        <f>COUNTA(F9:M9)</f>
        <v/>
      </c>
      <c r="P7" s="508" t="n"/>
      <c r="Q7" s="508" t="n"/>
      <c r="R7" s="508" t="n"/>
      <c r="S7" s="508" t="n"/>
      <c r="T7" s="511" t="n"/>
      <c r="U7" s="512" t="n"/>
    </row>
    <row r="8" ht="12" customHeight="1" s="354"/>
    <row r="9" ht="46.5" customHeight="1" s="354">
      <c r="A9" s="513" t="n"/>
      <c r="B9" s="514" t="n"/>
      <c r="C9" s="515" t="n"/>
      <c r="D9" s="516" t="n"/>
      <c r="E9" s="515" t="n"/>
      <c r="F9" s="517" t="inlineStr">
        <is>
          <t>UTCID01</t>
        </is>
      </c>
      <c r="G9" s="517" t="inlineStr">
        <is>
          <t>UTCID02</t>
        </is>
      </c>
      <c r="H9" s="517" t="inlineStr">
        <is>
          <t>UTCID03</t>
        </is>
      </c>
      <c r="I9" s="517" t="inlineStr">
        <is>
          <t>UTCID04</t>
        </is>
      </c>
      <c r="J9" s="517" t="inlineStr">
        <is>
          <t>UTCID05</t>
        </is>
      </c>
      <c r="K9" s="517" t="inlineStr">
        <is>
          <t>UTCID06</t>
        </is>
      </c>
      <c r="L9" s="517" t="inlineStr">
        <is>
          <t>UTCID07</t>
        </is>
      </c>
      <c r="M9" s="517" t="inlineStr">
        <is>
          <t>UTCID08</t>
        </is>
      </c>
      <c r="N9" s="517" t="n"/>
      <c r="O9" s="517" t="n"/>
      <c r="P9" s="517" t="n"/>
      <c r="Q9" s="517" t="n"/>
      <c r="R9" s="517" t="n"/>
      <c r="S9" s="517" t="n"/>
      <c r="T9" s="518" t="n"/>
      <c r="U9" s="519" t="n"/>
      <c r="V9" s="487" t="n"/>
      <c r="W9" s="474" t="n"/>
    </row>
    <row r="10" ht="13.5" customHeight="1" s="354">
      <c r="A10" s="520" t="inlineStr">
        <is>
          <t>Condition</t>
        </is>
      </c>
      <c r="B10" s="521" t="inlineStr">
        <is>
          <t>Precondition</t>
        </is>
      </c>
      <c r="C10" s="522" t="n"/>
      <c r="D10" s="523" t="n"/>
      <c r="E10" s="524" t="n"/>
      <c r="F10" s="525" t="n"/>
      <c r="G10" s="525" t="n"/>
      <c r="H10" s="525" t="n"/>
      <c r="I10" s="525" t="n"/>
      <c r="J10" s="525" t="n"/>
      <c r="K10" s="525" t="n"/>
      <c r="L10" s="525" t="n"/>
      <c r="M10" s="525" t="n"/>
      <c r="N10" s="525" t="n"/>
      <c r="O10" s="525" t="n"/>
      <c r="P10" s="525" t="n"/>
      <c r="Q10" s="525" t="n"/>
      <c r="R10" s="525" t="n"/>
      <c r="S10" s="525" t="n"/>
      <c r="T10" s="526" t="n"/>
    </row>
    <row r="11" ht="13.5" customHeight="1" s="354">
      <c r="A11" s="527" t="n"/>
      <c r="B11" s="528" t="n"/>
      <c r="C11" s="529" t="n"/>
      <c r="D11" s="530" t="inlineStr">
        <is>
          <t>MongoDB transaction available (mocked)</t>
        </is>
      </c>
      <c r="E11" s="524" t="n"/>
      <c r="F11" s="531" t="inlineStr">
        <is>
          <t>O</t>
        </is>
      </c>
      <c r="G11" s="531" t="inlineStr">
        <is>
          <t>O</t>
        </is>
      </c>
      <c r="H11" s="531" t="inlineStr">
        <is>
          <t>O</t>
        </is>
      </c>
      <c r="I11" s="531" t="inlineStr">
        <is>
          <t>O</t>
        </is>
      </c>
      <c r="J11" s="531" t="inlineStr">
        <is>
          <t>O</t>
        </is>
      </c>
      <c r="K11" s="531" t="inlineStr">
        <is>
          <t>O</t>
        </is>
      </c>
      <c r="L11" s="531" t="inlineStr">
        <is>
          <t>O</t>
        </is>
      </c>
      <c r="M11" s="531" t="inlineStr">
        <is>
          <t>O</t>
        </is>
      </c>
      <c r="N11" s="531" t="n"/>
      <c r="O11" s="531" t="n"/>
      <c r="P11" s="531" t="n"/>
      <c r="Q11" s="531" t="n"/>
      <c r="R11" s="531" t="n"/>
      <c r="S11" s="531" t="n"/>
      <c r="T11" s="532" t="n"/>
      <c r="V11" s="487" t="n"/>
    </row>
    <row r="12" ht="13.5" customHeight="1" s="354">
      <c r="A12" s="527" t="n"/>
      <c r="B12" s="528" t="inlineStr">
        <is>
          <t>Group status</t>
        </is>
      </c>
      <c r="C12" s="529" t="n"/>
      <c r="D12" s="530" t="n"/>
      <c r="E12" s="524" t="n"/>
      <c r="F12" s="531" t="n"/>
      <c r="G12" s="531" t="n"/>
      <c r="H12" s="531" t="n"/>
      <c r="I12" s="531" t="n"/>
      <c r="J12" s="531" t="n"/>
      <c r="K12" s="531" t="n"/>
      <c r="L12" s="531" t="n"/>
      <c r="M12" s="531" t="n"/>
      <c r="N12" s="531" t="n"/>
      <c r="O12" s="531" t="n"/>
      <c r="P12" s="531" t="n"/>
      <c r="Q12" s="531" t="n"/>
      <c r="R12" s="531" t="n"/>
      <c r="S12" s="531" t="n"/>
      <c r="T12" s="532" t="n"/>
    </row>
    <row r="13" ht="13.5" customHeight="1" s="354">
      <c r="A13" s="527" t="n"/>
      <c r="B13" s="528" t="n"/>
      <c r="C13" s="529" t="n"/>
      <c r="D13" s="530" t="inlineStr">
        <is>
          <t>picking</t>
        </is>
      </c>
      <c r="E13" s="533" t="n"/>
      <c r="F13" s="531" t="inlineStr">
        <is>
          <t>O</t>
        </is>
      </c>
      <c r="G13" s="531" t="inlineStr">
        <is>
          <t>O</t>
        </is>
      </c>
      <c r="H13" s="531" t="inlineStr">
        <is>
          <t>O</t>
        </is>
      </c>
      <c r="I13" s="531" t="inlineStr">
        <is>
          <t>O</t>
        </is>
      </c>
      <c r="J13" s="531" t="inlineStr">
        <is>
          <t>O</t>
        </is>
      </c>
      <c r="K13" s="531" t="inlineStr">
        <is>
          <t>O</t>
        </is>
      </c>
      <c r="L13" s="531" t="n"/>
      <c r="M13" s="531" t="inlineStr">
        <is>
          <t>O</t>
        </is>
      </c>
      <c r="N13" s="531" t="n"/>
      <c r="O13" s="531" t="n"/>
      <c r="P13" s="531" t="n"/>
      <c r="Q13" s="531" t="n"/>
      <c r="R13" s="531" t="n"/>
      <c r="S13" s="531" t="n"/>
      <c r="T13" s="532" t="n"/>
    </row>
    <row r="14" ht="13.5" customHeight="1" s="354">
      <c r="A14" s="527" t="n"/>
      <c r="B14" s="528" t="n"/>
      <c r="C14" s="529" t="n"/>
      <c r="D14" s="530" t="inlineStr">
        <is>
          <t>not picking</t>
        </is>
      </c>
      <c r="E14" s="534" t="n"/>
      <c r="F14" s="531" t="n"/>
      <c r="G14" s="531" t="n"/>
      <c r="H14" s="531" t="n"/>
      <c r="I14" s="531" t="n"/>
      <c r="J14" s="531" t="n"/>
      <c r="K14" s="531" t="n"/>
      <c r="L14" s="531" t="inlineStr">
        <is>
          <t>O</t>
        </is>
      </c>
      <c r="M14" s="531" t="n"/>
      <c r="N14" s="531" t="n"/>
      <c r="O14" s="531" t="n"/>
      <c r="P14" s="531" t="n"/>
      <c r="Q14" s="531" t="n"/>
      <c r="R14" s="531" t="n"/>
      <c r="S14" s="531" t="n"/>
      <c r="T14" s="532" t="n"/>
    </row>
    <row r="15" ht="13.5" customHeight="1" s="354">
      <c r="A15" s="527" t="n"/>
      <c r="B15" s="528" t="inlineStr">
        <is>
          <t>Scanned SKU</t>
        </is>
      </c>
      <c r="C15" s="529" t="n"/>
      <c r="D15" s="530" t="n"/>
      <c r="E15" s="534" t="n"/>
      <c r="F15" s="531" t="n"/>
      <c r="G15" s="531" t="n"/>
      <c r="H15" s="531" t="n"/>
      <c r="I15" s="531" t="n"/>
      <c r="J15" s="531" t="n"/>
      <c r="K15" s="531" t="n"/>
      <c r="L15" s="531" t="n"/>
      <c r="M15" s="531" t="n"/>
      <c r="N15" s="531" t="n"/>
      <c r="O15" s="531" t="n"/>
      <c r="P15" s="531" t="n"/>
      <c r="Q15" s="531" t="n"/>
      <c r="R15" s="531" t="n"/>
      <c r="S15" s="531" t="n"/>
      <c r="T15" s="532" t="n"/>
    </row>
    <row r="16" ht="13.5" customHeight="1" s="354">
      <c r="A16" s="527" t="n"/>
      <c r="B16" s="528" t="n"/>
      <c r="C16" s="529" t="n"/>
      <c r="D16" s="530" t="inlineStr">
        <is>
          <t>in group</t>
        </is>
      </c>
      <c r="E16" s="534" t="n"/>
      <c r="F16" s="531" t="n"/>
      <c r="G16" s="531" t="inlineStr">
        <is>
          <t>O</t>
        </is>
      </c>
      <c r="H16" s="531" t="inlineStr">
        <is>
          <t>O</t>
        </is>
      </c>
      <c r="I16" s="531" t="n"/>
      <c r="J16" s="531" t="inlineStr">
        <is>
          <t>O</t>
        </is>
      </c>
      <c r="K16" s="531" t="inlineStr">
        <is>
          <t>O</t>
        </is>
      </c>
      <c r="L16" s="531" t="inlineStr">
        <is>
          <t>O</t>
        </is>
      </c>
      <c r="M16" s="531" t="inlineStr">
        <is>
          <t>O</t>
        </is>
      </c>
      <c r="N16" s="531" t="n"/>
      <c r="O16" s="531" t="n"/>
      <c r="P16" s="531" t="n"/>
      <c r="Q16" s="531" t="n"/>
      <c r="R16" s="531" t="n"/>
      <c r="S16" s="531" t="n"/>
      <c r="T16" s="532" t="n"/>
    </row>
    <row r="17" ht="13.5" customHeight="1" s="354">
      <c r="A17" s="527" t="n"/>
      <c r="B17" s="528" t="n"/>
      <c r="C17" s="529" t="n"/>
      <c r="D17" s="530" t="inlineStr">
        <is>
          <t>not in group</t>
        </is>
      </c>
      <c r="E17" s="534" t="n"/>
      <c r="F17" s="531" t="inlineStr">
        <is>
          <t>O</t>
        </is>
      </c>
      <c r="G17" s="531" t="n"/>
      <c r="H17" s="531" t="n"/>
      <c r="I17" s="531" t="n"/>
      <c r="J17" s="531" t="n"/>
      <c r="K17" s="531" t="n"/>
      <c r="L17" s="531" t="n"/>
      <c r="M17" s="531" t="n"/>
      <c r="N17" s="531" t="n"/>
      <c r="O17" s="531" t="n"/>
      <c r="P17" s="531" t="n"/>
      <c r="Q17" s="531" t="n"/>
      <c r="R17" s="531" t="n"/>
      <c r="S17" s="531" t="n"/>
      <c r="T17" s="532" t="n"/>
      <c r="U17" s="535" t="n"/>
    </row>
    <row r="18" ht="13.5" customHeight="1" s="354">
      <c r="A18" s="527" t="n"/>
      <c r="B18" s="528" t="n"/>
      <c r="C18" s="529" t="n"/>
      <c r="D18" s="530" t="inlineStr">
        <is>
          <t>same SKU in another shop</t>
        </is>
      </c>
      <c r="E18" s="534" t="n"/>
      <c r="F18" s="531" t="n"/>
      <c r="G18" s="531" t="n"/>
      <c r="H18" s="531" t="n"/>
      <c r="I18" s="531" t="inlineStr">
        <is>
          <t>O</t>
        </is>
      </c>
      <c r="J18" s="531" t="n"/>
      <c r="K18" s="531" t="n"/>
      <c r="L18" s="531" t="n"/>
      <c r="M18" s="531" t="n"/>
      <c r="N18" s="531" t="n"/>
      <c r="O18" s="531" t="n"/>
      <c r="P18" s="531" t="n"/>
      <c r="Q18" s="531" t="n"/>
      <c r="R18" s="531" t="n"/>
      <c r="S18" s="531" t="n"/>
      <c r="T18" s="532" t="n"/>
      <c r="U18" s="535" t="n"/>
    </row>
    <row r="19" ht="13.5" customHeight="1" s="354">
      <c r="A19" s="527" t="n"/>
      <c r="B19" s="528" t="inlineStr">
        <is>
          <t>Quantity</t>
        </is>
      </c>
      <c r="C19" s="529" t="n"/>
      <c r="D19" s="476" t="n"/>
      <c r="F19" s="531" t="n"/>
      <c r="G19" s="531" t="n"/>
      <c r="H19" s="531" t="n"/>
      <c r="I19" s="531" t="n"/>
      <c r="J19" s="531" t="n"/>
      <c r="K19" s="531" t="n"/>
      <c r="L19" s="531" t="n"/>
      <c r="M19" s="531" t="n"/>
      <c r="N19" s="531" t="n"/>
      <c r="O19" s="531" t="n"/>
      <c r="P19" s="531" t="n"/>
      <c r="Q19" s="531" t="n"/>
      <c r="R19" s="531" t="n"/>
      <c r="S19" s="531" t="n"/>
      <c r="T19" s="532" t="n"/>
    </row>
    <row r="20" ht="13.5" customHeight="1" s="354">
      <c r="A20" s="527" t="n"/>
      <c r="B20" s="528" t="n"/>
      <c r="C20" s="529" t="n"/>
      <c r="D20" s="530" t="inlineStr">
        <is>
          <t>≤ ordered</t>
        </is>
      </c>
      <c r="E20" s="534" t="n"/>
      <c r="F20" s="531" t="n"/>
      <c r="G20" s="531" t="inlineStr">
        <is>
          <t>O</t>
        </is>
      </c>
      <c r="H20" s="531" t="inlineStr">
        <is>
          <t>O</t>
        </is>
      </c>
      <c r="I20" s="531" t="inlineStr">
        <is>
          <t>O</t>
        </is>
      </c>
      <c r="J20" s="531" t="inlineStr">
        <is>
          <t>O</t>
        </is>
      </c>
      <c r="K20" s="531" t="n"/>
      <c r="L20" s="531" t="n"/>
      <c r="M20" s="531" t="n"/>
      <c r="N20" s="531" t="n"/>
      <c r="O20" s="531" t="n"/>
      <c r="P20" s="531" t="n"/>
      <c r="Q20" s="531" t="n"/>
      <c r="R20" s="531" t="n"/>
      <c r="S20" s="531" t="n"/>
      <c r="T20" s="532" t="n"/>
    </row>
    <row r="21" ht="13.5" customHeight="1" s="354">
      <c r="A21" s="527" t="n"/>
      <c r="B21" s="528" t="n"/>
      <c r="C21" s="529" t="n"/>
      <c r="D21" s="530" t="inlineStr">
        <is>
          <t>&gt; ordered</t>
        </is>
      </c>
      <c r="E21" s="534" t="n"/>
      <c r="F21" s="531" t="n"/>
      <c r="G21" s="531" t="n"/>
      <c r="H21" s="531" t="n"/>
      <c r="I21" s="531" t="n"/>
      <c r="J21" s="531" t="n"/>
      <c r="K21" s="531" t="inlineStr">
        <is>
          <t>O</t>
        </is>
      </c>
      <c r="L21" s="531" t="n"/>
      <c r="M21" s="531" t="n"/>
      <c r="N21" s="531" t="n"/>
      <c r="O21" s="531" t="n"/>
      <c r="P21" s="531" t="n"/>
      <c r="Q21" s="531" t="n"/>
      <c r="R21" s="531" t="n"/>
      <c r="S21" s="531" t="n"/>
      <c r="T21" s="532" t="n"/>
    </row>
    <row r="22" ht="13.5" customHeight="1" s="354">
      <c r="A22" s="527" t="n"/>
      <c r="B22" s="528" t="inlineStr">
        <is>
          <t>Bin</t>
        </is>
      </c>
      <c r="C22" s="529" t="n"/>
      <c r="D22" s="530" t="n"/>
      <c r="E22" s="534" t="n"/>
      <c r="F22" s="531" t="n"/>
      <c r="G22" s="531" t="n"/>
      <c r="H22" s="531" t="n"/>
      <c r="I22" s="531" t="n"/>
      <c r="J22" s="531" t="n"/>
      <c r="K22" s="531" t="n"/>
      <c r="L22" s="531" t="n"/>
      <c r="M22" s="531" t="n"/>
      <c r="N22" s="531" t="n"/>
      <c r="O22" s="531" t="n"/>
      <c r="P22" s="531" t="n"/>
      <c r="Q22" s="531" t="n"/>
      <c r="R22" s="531" t="n"/>
      <c r="S22" s="531" t="n"/>
      <c r="T22" s="532" t="n"/>
    </row>
    <row r="23" ht="13.5" customHeight="1" s="354">
      <c r="A23" s="527" t="n"/>
      <c r="B23" s="528" t="n"/>
      <c r="C23" s="529" t="n"/>
      <c r="D23" s="530" t="inlineStr">
        <is>
          <t>given</t>
        </is>
      </c>
      <c r="E23" s="534" t="n"/>
      <c r="F23" s="531" t="n"/>
      <c r="G23" s="531" t="inlineStr">
        <is>
          <t>O</t>
        </is>
      </c>
      <c r="H23" s="531" t="n"/>
      <c r="I23" s="531" t="n"/>
      <c r="J23" s="531" t="n"/>
      <c r="K23" s="531" t="n"/>
      <c r="L23" s="531" t="n"/>
      <c r="M23" s="531" t="n"/>
      <c r="N23" s="531" t="n"/>
      <c r="O23" s="531" t="n"/>
      <c r="P23" s="531" t="n"/>
      <c r="Q23" s="531" t="n"/>
      <c r="R23" s="531" t="n"/>
      <c r="S23" s="531" t="n"/>
      <c r="T23" s="532" t="n"/>
    </row>
    <row r="24" ht="13.5" customHeight="1" s="354">
      <c r="A24" s="527" t="n"/>
      <c r="B24" s="528" t="n"/>
      <c r="C24" s="529" t="n"/>
      <c r="D24" s="530" t="inlineStr">
        <is>
          <t>not given (oldest lot)</t>
        </is>
      </c>
      <c r="E24" s="534" t="n"/>
      <c r="F24" s="531" t="n"/>
      <c r="G24" s="531" t="n"/>
      <c r="H24" s="531" t="n"/>
      <c r="I24" s="531" t="n"/>
      <c r="J24" s="531" t="inlineStr">
        <is>
          <t>O</t>
        </is>
      </c>
      <c r="K24" s="531" t="n"/>
      <c r="L24" s="531" t="n"/>
      <c r="M24" s="531" t="n"/>
      <c r="N24" s="531" t="n"/>
      <c r="O24" s="531" t="n"/>
      <c r="P24" s="531" t="n"/>
      <c r="Q24" s="531" t="n"/>
      <c r="R24" s="531" t="n"/>
      <c r="S24" s="531" t="n"/>
      <c r="T24" s="532" t="n"/>
    </row>
    <row r="25" ht="13.5" customHeight="1" s="354">
      <c r="A25" s="527" t="n"/>
      <c r="B25" s="528" t="inlineStr">
        <is>
          <t>client_event_id</t>
        </is>
      </c>
      <c r="C25" s="529" t="n"/>
      <c r="D25" s="530" t="n"/>
      <c r="E25" s="534" t="n"/>
      <c r="F25" s="531" t="n"/>
      <c r="G25" s="531" t="n"/>
      <c r="H25" s="531" t="n"/>
      <c r="I25" s="531" t="n"/>
      <c r="J25" s="531" t="n"/>
      <c r="K25" s="531" t="n"/>
      <c r="L25" s="531" t="n"/>
      <c r="M25" s="531" t="n"/>
      <c r="N25" s="531" t="n"/>
      <c r="O25" s="531" t="n"/>
      <c r="P25" s="531" t="n"/>
      <c r="Q25" s="531" t="n"/>
      <c r="R25" s="531" t="n"/>
      <c r="S25" s="531" t="n"/>
      <c r="T25" s="532" t="n"/>
    </row>
    <row r="26" ht="13.5" customHeight="1" s="354">
      <c r="A26" s="527" t="n"/>
      <c r="B26" s="528" t="n"/>
      <c r="C26" s="529" t="n"/>
      <c r="D26" s="530" t="inlineStr">
        <is>
          <t>new</t>
        </is>
      </c>
      <c r="E26" s="534" t="n"/>
      <c r="F26" s="531" t="inlineStr">
        <is>
          <t>O</t>
        </is>
      </c>
      <c r="G26" s="531" t="inlineStr">
        <is>
          <t>O</t>
        </is>
      </c>
      <c r="H26" s="531" t="inlineStr">
        <is>
          <t>O</t>
        </is>
      </c>
      <c r="I26" s="531" t="inlineStr">
        <is>
          <t>O</t>
        </is>
      </c>
      <c r="J26" s="531" t="inlineStr">
        <is>
          <t>O</t>
        </is>
      </c>
      <c r="K26" s="531" t="inlineStr">
        <is>
          <t>O</t>
        </is>
      </c>
      <c r="L26" s="531" t="inlineStr">
        <is>
          <t>O</t>
        </is>
      </c>
      <c r="M26" s="531" t="n"/>
      <c r="N26" s="531" t="n"/>
      <c r="O26" s="531" t="n"/>
      <c r="P26" s="531" t="n"/>
      <c r="Q26" s="531" t="n"/>
      <c r="R26" s="531" t="n"/>
      <c r="S26" s="531" t="n"/>
      <c r="T26" s="532" t="n"/>
    </row>
    <row r="27" ht="13.5" customHeight="1" s="354">
      <c r="A27" s="527" t="n"/>
      <c r="B27" s="528" t="n"/>
      <c r="C27" s="529" t="n"/>
      <c r="D27" s="530" t="inlineStr">
        <is>
          <t>already processed</t>
        </is>
      </c>
      <c r="E27" s="534" t="n"/>
      <c r="F27" s="531" t="n"/>
      <c r="G27" s="531" t="n"/>
      <c r="H27" s="531" t="n"/>
      <c r="I27" s="531" t="n"/>
      <c r="J27" s="531" t="n"/>
      <c r="K27" s="531" t="n"/>
      <c r="L27" s="531" t="n"/>
      <c r="M27" s="531" t="inlineStr">
        <is>
          <t>O</t>
        </is>
      </c>
      <c r="N27" s="531" t="n"/>
      <c r="O27" s="531" t="n"/>
      <c r="P27" s="531" t="n"/>
      <c r="Q27" s="531" t="n"/>
      <c r="R27" s="531" t="n"/>
      <c r="S27" s="531" t="n"/>
      <c r="T27" s="532" t="n"/>
    </row>
    <row r="28" ht="13.5" customHeight="1" s="354">
      <c r="A28" s="527" t="n"/>
      <c r="B28" s="528" t="inlineStr">
        <is>
          <t>Scan</t>
        </is>
      </c>
      <c r="C28" s="529" t="n"/>
      <c r="D28" s="530" t="n"/>
      <c r="E28" s="534" t="n"/>
      <c r="F28" s="531" t="n"/>
      <c r="G28" s="531" t="n"/>
      <c r="H28" s="531" t="n"/>
      <c r="I28" s="531" t="n"/>
      <c r="J28" s="531" t="n"/>
      <c r="K28" s="531" t="n"/>
      <c r="L28" s="531" t="n"/>
      <c r="M28" s="531" t="n"/>
      <c r="N28" s="531" t="n"/>
      <c r="O28" s="531" t="n"/>
      <c r="P28" s="531" t="n"/>
      <c r="Q28" s="531" t="n"/>
      <c r="R28" s="531" t="n"/>
      <c r="S28" s="531" t="n"/>
      <c r="T28" s="532" t="n"/>
    </row>
    <row r="29" ht="13.5" customHeight="1" s="354">
      <c r="A29" s="527" t="n"/>
      <c r="B29" s="528" t="n"/>
      <c r="C29" s="529" t="n"/>
      <c r="D29" s="530" t="inlineStr">
        <is>
          <t>first of the group</t>
        </is>
      </c>
      <c r="E29" s="534" t="n"/>
      <c r="F29" s="531" t="n"/>
      <c r="G29" s="531" t="n"/>
      <c r="H29" s="531" t="inlineStr">
        <is>
          <t>O</t>
        </is>
      </c>
      <c r="I29" s="531" t="n"/>
      <c r="J29" s="531" t="n"/>
      <c r="K29" s="531" t="n"/>
      <c r="L29" s="531" t="n"/>
      <c r="M29" s="531" t="n"/>
      <c r="N29" s="531" t="n"/>
      <c r="O29" s="531" t="n"/>
      <c r="P29" s="531" t="n"/>
      <c r="Q29" s="531" t="n"/>
      <c r="R29" s="531" t="n"/>
      <c r="S29" s="531" t="n"/>
      <c r="T29" s="532" t="n"/>
    </row>
    <row r="30" ht="13.5" customHeight="1" s="354">
      <c r="A30" s="527" t="n"/>
      <c r="B30" s="572" t="n"/>
      <c r="C30" s="538" t="n"/>
      <c r="D30" s="530" t="inlineStr">
        <is>
          <t>later scan</t>
        </is>
      </c>
      <c r="E30" s="540" t="n"/>
      <c r="F30" s="531" t="n"/>
      <c r="G30" s="531" t="inlineStr">
        <is>
          <t>O</t>
        </is>
      </c>
      <c r="H30" s="531" t="n"/>
      <c r="I30" s="531" t="n"/>
      <c r="J30" s="531" t="n"/>
      <c r="K30" s="531" t="n"/>
      <c r="L30" s="531" t="n"/>
      <c r="M30" s="531" t="n"/>
      <c r="N30" s="541" t="n"/>
      <c r="O30" s="541" t="n"/>
      <c r="P30" s="541" t="n"/>
      <c r="Q30" s="541" t="n"/>
      <c r="R30" s="541" t="n"/>
      <c r="S30" s="541" t="n"/>
      <c r="T30" s="542" t="n"/>
    </row>
    <row r="31" ht="13.5" customHeight="1" s="354">
      <c r="A31" s="536" t="inlineStr">
        <is>
          <t>Confirm</t>
        </is>
      </c>
      <c r="B31" s="537" t="inlineStr">
        <is>
          <t>Return</t>
        </is>
      </c>
      <c r="C31" s="543" t="n"/>
      <c r="D31" s="573" t="n"/>
      <c r="E31" s="545" t="n"/>
      <c r="F31" s="525" t="n"/>
      <c r="G31" s="525" t="n"/>
      <c r="H31" s="525" t="n"/>
      <c r="I31" s="525" t="n"/>
      <c r="J31" s="525" t="n"/>
      <c r="K31" s="525" t="n"/>
      <c r="L31" s="525" t="n"/>
      <c r="M31" s="525" t="n"/>
      <c r="N31" s="525" t="n"/>
      <c r="O31" s="525" t="n"/>
      <c r="P31" s="525" t="n"/>
      <c r="Q31" s="525" t="n"/>
      <c r="R31" s="525" t="n"/>
      <c r="S31" s="525" t="n"/>
      <c r="T31" s="526" t="n"/>
    </row>
    <row r="32" ht="13.5" customHeight="1" s="354">
      <c r="A32" s="546" t="n"/>
      <c r="B32" s="547" t="n"/>
      <c r="C32" s="548" t="n"/>
      <c r="D32" s="544" t="inlineStr">
        <is>
          <t>stock decremented + pick_event</t>
        </is>
      </c>
      <c r="E32" s="549" t="n"/>
      <c r="F32" s="531" t="n"/>
      <c r="G32" s="531" t="inlineStr">
        <is>
          <t>O</t>
        </is>
      </c>
      <c r="H32" s="531" t="inlineStr">
        <is>
          <t>O</t>
        </is>
      </c>
      <c r="I32" s="531" t="inlineStr">
        <is>
          <t>O</t>
        </is>
      </c>
      <c r="J32" s="531" t="inlineStr">
        <is>
          <t>O</t>
        </is>
      </c>
      <c r="K32" s="531" t="n"/>
      <c r="L32" s="531" t="n"/>
      <c r="M32" s="531" t="n"/>
      <c r="N32" s="531" t="n"/>
      <c r="O32" s="531" t="n"/>
      <c r="P32" s="531" t="n"/>
      <c r="Q32" s="531" t="n"/>
      <c r="R32" s="531" t="n"/>
      <c r="S32" s="531" t="n"/>
      <c r="T32" s="532" t="n"/>
    </row>
    <row r="33" ht="13.5" customHeight="1" s="354">
      <c r="A33" s="546" t="n"/>
      <c r="B33" s="547" t="n"/>
      <c r="C33" s="550" t="n"/>
      <c r="D33" s="544" t="inlineStr">
        <is>
          <t>lot recorded on pick_event</t>
        </is>
      </c>
      <c r="E33" s="551" t="n"/>
      <c r="F33" s="531" t="n"/>
      <c r="G33" s="531" t="n"/>
      <c r="H33" s="531" t="n"/>
      <c r="I33" s="531" t="n"/>
      <c r="J33" s="531" t="inlineStr">
        <is>
          <t>O</t>
        </is>
      </c>
      <c r="K33" s="531" t="n"/>
      <c r="L33" s="531" t="n"/>
      <c r="M33" s="531" t="n"/>
      <c r="N33" s="531" t="n"/>
      <c r="O33" s="531" t="n"/>
      <c r="P33" s="531" t="n"/>
      <c r="Q33" s="531" t="n"/>
      <c r="R33" s="531" t="n"/>
      <c r="S33" s="531" t="n"/>
      <c r="T33" s="532" t="n"/>
    </row>
    <row r="34" ht="13.5" customHeight="1" s="354">
      <c r="A34" s="546" t="n"/>
      <c r="B34" s="547" t="n"/>
      <c r="C34" s="550" t="n"/>
      <c r="D34" s="544" t="inlineStr">
        <is>
          <t>website "preparing" event once</t>
        </is>
      </c>
      <c r="E34" s="551" t="n"/>
      <c r="F34" s="531" t="n"/>
      <c r="G34" s="531" t="n"/>
      <c r="H34" s="531" t="inlineStr">
        <is>
          <t>O</t>
        </is>
      </c>
      <c r="I34" s="531" t="n"/>
      <c r="J34" s="531" t="n"/>
      <c r="K34" s="531" t="n"/>
      <c r="L34" s="531" t="n"/>
      <c r="M34" s="531" t="n"/>
      <c r="N34" s="531" t="n"/>
      <c r="O34" s="531" t="n"/>
      <c r="P34" s="531" t="n"/>
      <c r="Q34" s="531" t="n"/>
      <c r="R34" s="531" t="n"/>
      <c r="S34" s="531" t="n"/>
      <c r="T34" s="532" t="n"/>
    </row>
    <row r="35" ht="13.5" customHeight="1" s="354">
      <c r="A35" s="546" t="n"/>
      <c r="B35" s="547" t="n"/>
      <c r="C35" s="550" t="n"/>
      <c r="D35" s="544" t="inlineStr">
        <is>
          <t>previous result returned</t>
        </is>
      </c>
      <c r="E35" s="551" t="n"/>
      <c r="F35" s="531" t="n"/>
      <c r="G35" s="531" t="n"/>
      <c r="H35" s="531" t="n"/>
      <c r="I35" s="531" t="n"/>
      <c r="J35" s="531" t="n"/>
      <c r="K35" s="531" t="n"/>
      <c r="L35" s="531" t="n"/>
      <c r="M35" s="531" t="inlineStr">
        <is>
          <t>O</t>
        </is>
      </c>
      <c r="N35" s="531" t="n"/>
      <c r="O35" s="531" t="n"/>
      <c r="P35" s="531" t="n"/>
      <c r="Q35" s="531" t="n"/>
      <c r="R35" s="531" t="n"/>
      <c r="S35" s="531" t="n"/>
      <c r="T35" s="532" t="n"/>
    </row>
    <row r="36" ht="13.5" customHeight="1" s="354">
      <c r="A36" s="546" t="n"/>
      <c r="B36" s="537" t="inlineStr">
        <is>
          <t>Exception</t>
        </is>
      </c>
      <c r="C36" s="550" t="n"/>
      <c r="D36" s="544" t="n"/>
      <c r="E36" s="551" t="n"/>
      <c r="F36" s="531" t="n"/>
      <c r="G36" s="531" t="n"/>
      <c r="H36" s="531" t="n"/>
      <c r="I36" s="531" t="n"/>
      <c r="J36" s="531" t="n"/>
      <c r="K36" s="531" t="n"/>
      <c r="L36" s="531" t="n"/>
      <c r="M36" s="531" t="n"/>
      <c r="N36" s="531" t="n"/>
      <c r="O36" s="531" t="n"/>
      <c r="P36" s="531" t="n"/>
      <c r="Q36" s="531" t="n"/>
      <c r="R36" s="531" t="n"/>
      <c r="S36" s="531" t="n"/>
      <c r="T36" s="532" t="n"/>
    </row>
    <row r="37" ht="13.5" customHeight="1" s="354">
      <c r="A37" s="546" t="n"/>
      <c r="B37" s="547" t="n"/>
      <c r="C37" s="550" t="n"/>
      <c r="D37" s="544" t="inlineStr">
        <is>
          <t>ORD_GROUP_ITEM_NOT_IN_GROUP</t>
        </is>
      </c>
      <c r="E37" s="551" t="n"/>
      <c r="F37" s="531" t="inlineStr">
        <is>
          <t>O</t>
        </is>
      </c>
      <c r="G37" s="531" t="n"/>
      <c r="H37" s="531" t="n"/>
      <c r="I37" s="531" t="n"/>
      <c r="J37" s="531" t="n"/>
      <c r="K37" s="531" t="n"/>
      <c r="L37" s="531" t="n"/>
      <c r="M37" s="531" t="n"/>
      <c r="N37" s="531" t="n"/>
      <c r="O37" s="531" t="n"/>
      <c r="P37" s="531" t="n"/>
      <c r="Q37" s="531" t="n"/>
      <c r="R37" s="531" t="n"/>
      <c r="S37" s="531" t="n"/>
      <c r="T37" s="532" t="n"/>
    </row>
    <row r="38" ht="13.5" customHeight="1" s="354">
      <c r="A38" s="546" t="n"/>
      <c r="B38" s="552" t="n"/>
      <c r="C38" s="553" t="n"/>
      <c r="D38" s="544" t="inlineStr">
        <is>
          <t>ORD_GROUP_PICK_EXCEEDS_ORDERED</t>
        </is>
      </c>
      <c r="E38" s="554" t="n"/>
      <c r="F38" s="531" t="n"/>
      <c r="G38" s="531" t="n"/>
      <c r="H38" s="531" t="n"/>
      <c r="I38" s="531" t="n"/>
      <c r="J38" s="531" t="n"/>
      <c r="K38" s="531" t="inlineStr">
        <is>
          <t>O</t>
        </is>
      </c>
      <c r="L38" s="531" t="n"/>
      <c r="M38" s="531" t="n"/>
      <c r="N38" s="555" t="n"/>
      <c r="O38" s="555" t="n"/>
      <c r="P38" s="555" t="n"/>
      <c r="Q38" s="555" t="n"/>
      <c r="R38" s="555" t="n"/>
      <c r="S38" s="555" t="n"/>
      <c r="T38" s="556" t="n"/>
    </row>
    <row r="39" ht="13.5" customHeight="1" s="354">
      <c r="A39" s="536" t="n"/>
      <c r="B39" s="557" t="n"/>
      <c r="D39" s="544" t="inlineStr">
        <is>
          <t>ORD_GROUP_PICK_NOT_ALLOWED</t>
        </is>
      </c>
      <c r="E39" s="557" t="n"/>
      <c r="F39" s="531" t="n"/>
      <c r="G39" s="531" t="n"/>
      <c r="H39" s="531" t="n"/>
      <c r="I39" s="531" t="n"/>
      <c r="J39" s="531" t="n"/>
      <c r="K39" s="531" t="n"/>
      <c r="L39" s="531" t="inlineStr">
        <is>
          <t>O</t>
        </is>
      </c>
      <c r="M39" s="531" t="n"/>
      <c r="N39" s="558" t="n"/>
      <c r="O39" s="558" t="n"/>
      <c r="P39" s="558" t="n"/>
      <c r="Q39" s="558" t="n"/>
      <c r="R39" s="558" t="n"/>
      <c r="S39" s="558" t="n"/>
      <c r="T39" s="559" t="n"/>
    </row>
    <row r="40" ht="13.5" customHeight="1" s="354">
      <c r="A40" s="546" t="n"/>
      <c r="B40" s="537" t="inlineStr">
        <is>
          <t>Log message</t>
        </is>
      </c>
      <c r="E40" s="561" t="n"/>
      <c r="F40" s="562" t="n"/>
      <c r="G40" s="562" t="n"/>
      <c r="H40" s="562" t="n"/>
      <c r="I40" s="562" t="n"/>
      <c r="J40" s="562" t="n"/>
      <c r="K40" s="562" t="n"/>
      <c r="L40" s="562" t="n"/>
      <c r="M40" s="562" t="n"/>
      <c r="N40" s="562" t="n"/>
      <c r="O40" s="562" t="n"/>
      <c r="P40" s="562" t="n"/>
      <c r="Q40" s="562" t="n"/>
      <c r="R40" s="562" t="n"/>
      <c r="S40" s="562" t="n"/>
      <c r="T40" s="563" t="n"/>
    </row>
    <row r="41" ht="13.5" customHeight="1" s="354">
      <c r="A41" s="546" t="n"/>
      <c r="B41" s="574" t="n"/>
      <c r="D41" s="544" t="inlineStr">
        <is>
          <t>Test name in order-groups.service.pickItem.spec.ts (line)</t>
        </is>
      </c>
      <c r="E41" s="564" t="n"/>
      <c r="F41" s="531" t="inlineStr">
        <is>
          <t>line 131</t>
        </is>
      </c>
      <c r="G41" s="531" t="inlineStr">
        <is>
          <t>line 143</t>
        </is>
      </c>
      <c r="H41" s="531" t="inlineStr">
        <is>
          <t>line 174</t>
        </is>
      </c>
      <c r="I41" s="531" t="inlineStr">
        <is>
          <t>line 194</t>
        </is>
      </c>
      <c r="J41" s="531" t="inlineStr">
        <is>
          <t>line 216</t>
        </is>
      </c>
      <c r="K41" s="531" t="inlineStr">
        <is>
          <t>line 286</t>
        </is>
      </c>
      <c r="L41" s="531" t="inlineStr">
        <is>
          <t>line 299</t>
        </is>
      </c>
      <c r="M41" s="531" t="inlineStr">
        <is>
          <t>line 309</t>
        </is>
      </c>
      <c r="N41" s="565" t="n"/>
      <c r="O41" s="565" t="n"/>
      <c r="P41" s="565" t="n"/>
      <c r="Q41" s="565" t="n"/>
      <c r="R41" s="565" t="n"/>
      <c r="S41" s="565" t="n"/>
      <c r="T41" s="566" t="n"/>
    </row>
    <row r="42" ht="80" customHeight="1" s="354">
      <c r="A42" s="536" t="inlineStr">
        <is>
          <t>Result</t>
        </is>
      </c>
      <c r="B42" s="557" t="inlineStr">
        <is>
          <t>Type(N : Normal, A : Abnormal, B : Boundary)</t>
        </is>
      </c>
      <c r="E42" s="568" t="n"/>
      <c r="F42" s="558" t="inlineStr">
        <is>
          <t>A</t>
        </is>
      </c>
      <c r="G42" s="558" t="inlineStr">
        <is>
          <t>N</t>
        </is>
      </c>
      <c r="H42" s="558" t="inlineStr">
        <is>
          <t>N</t>
        </is>
      </c>
      <c r="I42" s="558" t="inlineStr">
        <is>
          <t>N</t>
        </is>
      </c>
      <c r="J42" s="558" t="inlineStr">
        <is>
          <t>N</t>
        </is>
      </c>
      <c r="K42" s="558" t="inlineStr">
        <is>
          <t>B</t>
        </is>
      </c>
      <c r="L42" s="558" t="inlineStr">
        <is>
          <t>A</t>
        </is>
      </c>
      <c r="M42" s="558" t="inlineStr">
        <is>
          <t>N</t>
        </is>
      </c>
      <c r="N42" s="569" t="n"/>
      <c r="O42" s="569" t="n"/>
      <c r="P42" s="569" t="n"/>
      <c r="Q42" s="569" t="n"/>
      <c r="R42" s="569" t="n"/>
      <c r="S42" s="569" t="n"/>
      <c r="T42" s="570" t="n"/>
    </row>
    <row r="43" ht="12" customHeight="1" s="354">
      <c r="A43" s="571" t="n"/>
      <c r="B43" s="557" t="inlineStr">
        <is>
          <t>Passed/Failed</t>
        </is>
      </c>
      <c r="F43" s="562" t="inlineStr">
        <is>
          <t>P</t>
        </is>
      </c>
      <c r="G43" s="562" t="inlineStr">
        <is>
          <t>P</t>
        </is>
      </c>
      <c r="H43" s="562" t="inlineStr">
        <is>
          <t>P</t>
        </is>
      </c>
      <c r="I43" s="562" t="inlineStr">
        <is>
          <t>P</t>
        </is>
      </c>
      <c r="J43" s="562" t="inlineStr">
        <is>
          <t>P</t>
        </is>
      </c>
      <c r="K43" s="562" t="inlineStr">
        <is>
          <t>P</t>
        </is>
      </c>
      <c r="L43" s="562" t="inlineStr">
        <is>
          <t>P</t>
        </is>
      </c>
      <c r="M43" s="562" t="inlineStr">
        <is>
          <t>P</t>
        </is>
      </c>
    </row>
    <row r="44">
      <c r="B44" s="557" t="inlineStr">
        <is>
          <t>Executed Date</t>
        </is>
      </c>
      <c r="F44" s="531" t="inlineStr">
        <is>
          <t>25/10/2026</t>
        </is>
      </c>
      <c r="G44" s="531" t="inlineStr">
        <is>
          <t>25/10/2026</t>
        </is>
      </c>
      <c r="H44" s="531" t="inlineStr">
        <is>
          <t>25/10/2026</t>
        </is>
      </c>
      <c r="I44" s="531" t="inlineStr">
        <is>
          <t>25/10/2026</t>
        </is>
      </c>
      <c r="J44" s="531" t="inlineStr">
        <is>
          <t>25/10/2026</t>
        </is>
      </c>
      <c r="K44" s="531" t="inlineStr">
        <is>
          <t>25/10/2026</t>
        </is>
      </c>
      <c r="L44" s="531" t="inlineStr">
        <is>
          <t>25/10/2026</t>
        </is>
      </c>
      <c r="M44" s="531" t="inlineStr">
        <is>
          <t>25/10/2026</t>
        </is>
      </c>
    </row>
  </sheetData>
  <mergeCells count="23">
    <mergeCell ref="F2:K2"/>
    <mergeCell ref="A6:B6"/>
    <mergeCell ref="C4:D4"/>
    <mergeCell ref="C2:E2"/>
    <mergeCell ref="L4:T4"/>
    <mergeCell ref="A7:B7"/>
    <mergeCell ref="C7:E7"/>
    <mergeCell ref="L6:N6"/>
    <mergeCell ref="A3:B3"/>
    <mergeCell ref="A2:B2"/>
    <mergeCell ref="A5:B5"/>
    <mergeCell ref="C3:E3"/>
    <mergeCell ref="O7:T7"/>
    <mergeCell ref="F4:K4"/>
    <mergeCell ref="C6:E6"/>
    <mergeCell ref="A4:B4"/>
    <mergeCell ref="L2:T2"/>
    <mergeCell ref="O6:T6"/>
    <mergeCell ref="F6:K6"/>
    <mergeCell ref="C5:T5"/>
    <mergeCell ref="F7:K7"/>
    <mergeCell ref="L3:N3"/>
    <mergeCell ref="F3:K3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W43"/>
  <sheetViews>
    <sheetView workbookViewId="0">
      <selection activeCell="A1" sqref="A1"/>
    </sheetView>
  </sheetViews>
  <sheetFormatPr baseColWidth="8" defaultColWidth="8.99609375" defaultRowHeight="13.5" zeroHeight="0" outlineLevelRow="0"/>
  <cols>
    <col width="8.16" customWidth="1" style="474" min="1" max="1"/>
    <col width="13.32" customWidth="1" style="475" min="2" max="2"/>
    <col width="10.82" customWidth="1" style="474" min="3" max="3"/>
    <col width="34" customWidth="1" style="476" min="4" max="4"/>
    <col hidden="1" width="1.82" customWidth="1" style="474" min="5" max="5"/>
    <col width="10" customWidth="1" style="474" min="6" max="21"/>
    <col width="10" customWidth="1" style="354" min="7" max="7"/>
    <col width="10" customWidth="1" style="354" min="8" max="8"/>
    <col width="10" customWidth="1" style="354" min="9" max="9"/>
    <col width="10" customWidth="1" style="354" min="10" max="10"/>
    <col width="10" customWidth="1" style="354" min="11" max="11"/>
    <col width="10" customWidth="1" style="354" min="12" max="12"/>
    <col width="10" customWidth="1" style="354" min="13" max="13"/>
    <col width="8.99" customWidth="1" style="474" min="22" max="257"/>
  </cols>
  <sheetData>
    <row r="1" ht="13.5" customHeight="1" s="354">
      <c r="A1" s="477" t="n"/>
      <c r="B1" s="478" t="n"/>
    </row>
    <row r="2" ht="13.5" customHeight="1" s="354">
      <c r="A2" s="479" t="inlineStr">
        <is>
          <t>Function Code</t>
        </is>
      </c>
      <c r="B2" s="480" t="n"/>
      <c r="C2" s="481" t="inlineStr">
        <is>
          <t>UT-GROUP-TRANS</t>
        </is>
      </c>
      <c r="D2" s="480" t="n"/>
      <c r="E2" s="482" t="n"/>
      <c r="F2" s="483" t="inlineStr">
        <is>
          <t>Function Name</t>
        </is>
      </c>
      <c r="G2" s="484" t="n"/>
      <c r="H2" s="484" t="n"/>
      <c r="I2" s="484" t="n"/>
      <c r="J2" s="484" t="n"/>
      <c r="K2" s="484" t="n"/>
      <c r="L2" s="485" t="inlineStr">
        <is>
          <t>allowed-status-transitions.isValidStatusTransition / getAllowedNextStatuses</t>
        </is>
      </c>
      <c r="M2" s="480" t="n"/>
      <c r="N2" s="480" t="n"/>
      <c r="O2" s="480" t="n"/>
      <c r="P2" s="480" t="n"/>
      <c r="Q2" s="480" t="n"/>
      <c r="R2" s="480" t="n"/>
      <c r="S2" s="480" t="n"/>
      <c r="T2" s="486" t="n"/>
      <c r="V2" s="487" t="n"/>
    </row>
    <row r="3" ht="13.5" customHeight="1" s="354">
      <c r="A3" s="488" t="inlineStr">
        <is>
          <t>Created By</t>
        </is>
      </c>
      <c r="B3" s="369" t="n"/>
      <c r="C3" s="489" t="inlineStr">
        <is>
          <t>Thi, Thuận</t>
        </is>
      </c>
      <c r="D3" s="490" t="n"/>
      <c r="E3" s="491" t="n"/>
      <c r="F3" s="492" t="inlineStr">
        <is>
          <t>Executed By</t>
        </is>
      </c>
      <c r="G3" s="368" t="n"/>
      <c r="H3" s="368" t="n"/>
      <c r="I3" s="368" t="n"/>
      <c r="J3" s="368" t="n"/>
      <c r="K3" s="369" t="n"/>
      <c r="L3" s="493" t="inlineStr">
        <is>
          <t>GitHub Actions CI (run #258, commit 1a3101c)</t>
        </is>
      </c>
      <c r="M3" s="490" t="n"/>
      <c r="N3" s="490" t="n"/>
      <c r="O3" s="494" t="n"/>
      <c r="P3" s="494" t="n"/>
      <c r="Q3" s="494" t="n"/>
      <c r="R3" s="494" t="n"/>
      <c r="S3" s="494" t="n"/>
      <c r="T3" s="495" t="n"/>
    </row>
    <row r="4" ht="13.5" customHeight="1" s="354">
      <c r="A4" s="488" t="inlineStr">
        <is>
          <t>Lines  of code</t>
        </is>
      </c>
      <c r="B4" s="369" t="n"/>
      <c r="C4" s="496" t="n">
        <v>113</v>
      </c>
      <c r="D4" s="368" t="n"/>
      <c r="E4" s="497" t="n"/>
      <c r="F4" s="492" t="inlineStr">
        <is>
          <t>Lack of test cases</t>
        </is>
      </c>
      <c r="G4" s="368" t="n"/>
      <c r="H4" s="368" t="n"/>
      <c r="I4" s="368" t="n"/>
      <c r="J4" s="368" t="n"/>
      <c r="K4" s="369" t="n"/>
      <c r="L4" s="498">
        <f>IF(Functions!E6&lt;&gt;"N/A",SUM(C4*Functions!E6/1000,-O7),"N/A")</f>
        <v/>
      </c>
      <c r="M4" s="368" t="n"/>
      <c r="N4" s="368" t="n"/>
      <c r="O4" s="368" t="n"/>
      <c r="P4" s="368" t="n"/>
      <c r="Q4" s="368" t="n"/>
      <c r="R4" s="368" t="n"/>
      <c r="S4" s="368" t="n"/>
      <c r="T4" s="499" t="n"/>
      <c r="V4" s="487" t="n"/>
    </row>
    <row r="5" ht="13.5" customHeight="1" s="354">
      <c r="A5" s="488" t="inlineStr">
        <is>
          <t>Test requirement</t>
        </is>
      </c>
      <c r="B5" s="369" t="n"/>
      <c r="C5" s="500" t="inlineStr">
        <is>
          <t>Allowed Order Group status transitions (33) and rejection of invalid jumps – SDD 3.8. Test file: be/src/modules/order-groups/enums/allowed-status-transitions.spec.ts; source: be/src/modules/order-groups/enums/allowed-status-transitions.ts</t>
        </is>
      </c>
      <c r="D5" s="368" t="n"/>
      <c r="E5" s="368" t="n"/>
      <c r="F5" s="368" t="n"/>
      <c r="G5" s="368" t="n"/>
      <c r="H5" s="368" t="n"/>
      <c r="I5" s="368" t="n"/>
      <c r="J5" s="368" t="n"/>
      <c r="K5" s="368" t="n"/>
      <c r="L5" s="368" t="n"/>
      <c r="M5" s="368" t="n"/>
      <c r="N5" s="368" t="n"/>
      <c r="O5" s="368" t="n"/>
      <c r="P5" s="368" t="n"/>
      <c r="Q5" s="368" t="n"/>
      <c r="R5" s="368" t="n"/>
      <c r="S5" s="368" t="n"/>
      <c r="T5" s="499" t="n"/>
    </row>
    <row r="6" ht="13.5" customHeight="1" s="354">
      <c r="A6" s="501" t="inlineStr">
        <is>
          <t>Passed</t>
        </is>
      </c>
      <c r="B6" s="369" t="n"/>
      <c r="C6" s="502" t="inlineStr">
        <is>
          <t>Failed</t>
        </is>
      </c>
      <c r="D6" s="368" t="n"/>
      <c r="E6" s="369" t="n"/>
      <c r="F6" s="502" t="inlineStr">
        <is>
          <t>Untested</t>
        </is>
      </c>
      <c r="G6" s="368" t="n"/>
      <c r="H6" s="368" t="n"/>
      <c r="I6" s="368" t="n"/>
      <c r="J6" s="368" t="n"/>
      <c r="K6" s="369" t="n"/>
      <c r="L6" s="503" t="inlineStr">
        <is>
          <t>N/A/B</t>
        </is>
      </c>
      <c r="M6" s="368" t="n"/>
      <c r="N6" s="368" t="n"/>
      <c r="O6" s="504" t="inlineStr">
        <is>
          <t>Total Test Cases</t>
        </is>
      </c>
      <c r="P6" s="368" t="n"/>
      <c r="Q6" s="368" t="n"/>
      <c r="R6" s="368" t="n"/>
      <c r="S6" s="368" t="n"/>
      <c r="T6" s="499" t="n"/>
      <c r="V6" s="487" t="n"/>
    </row>
    <row r="7" ht="13.5" customHeight="1" s="354">
      <c r="A7" s="505">
        <f>COUNTIF(F29:M29,"P")</f>
        <v/>
      </c>
      <c r="B7" s="506" t="n"/>
      <c r="C7" s="507">
        <f>COUNTIF(F29:M29,"F")</f>
        <v/>
      </c>
      <c r="D7" s="508" t="n"/>
      <c r="E7" s="506" t="n"/>
      <c r="F7" s="507">
        <f>SUM(O7,-A7,-C7)</f>
        <v/>
      </c>
      <c r="G7" s="508" t="n"/>
      <c r="H7" s="508" t="n"/>
      <c r="I7" s="508" t="n"/>
      <c r="J7" s="508" t="n"/>
      <c r="K7" s="506" t="n"/>
      <c r="L7" s="509">
        <f>COUNTIF(F28:M28,"N")</f>
        <v/>
      </c>
      <c r="M7" s="509">
        <f>COUNTIF(F28:M28,"A")</f>
        <v/>
      </c>
      <c r="N7" s="509">
        <f>COUNTIF(F28:M28,"B")</f>
        <v/>
      </c>
      <c r="O7" s="510">
        <f>COUNTA(F9:M9)</f>
        <v/>
      </c>
      <c r="P7" s="508" t="n"/>
      <c r="Q7" s="508" t="n"/>
      <c r="R7" s="508" t="n"/>
      <c r="S7" s="508" t="n"/>
      <c r="T7" s="511" t="n"/>
      <c r="U7" s="512" t="n"/>
    </row>
    <row r="8" ht="12" customHeight="1" s="354"/>
    <row r="9" ht="46.5" customHeight="1" s="354">
      <c r="A9" s="513" t="n"/>
      <c r="B9" s="514" t="n"/>
      <c r="C9" s="515" t="n"/>
      <c r="D9" s="516" t="n"/>
      <c r="E9" s="515" t="n"/>
      <c r="F9" s="517" t="inlineStr">
        <is>
          <t>UTCID01</t>
        </is>
      </c>
      <c r="G9" s="517" t="inlineStr">
        <is>
          <t>UTCID02</t>
        </is>
      </c>
      <c r="H9" s="517" t="inlineStr">
        <is>
          <t>UTCID03</t>
        </is>
      </c>
      <c r="I9" s="517" t="inlineStr">
        <is>
          <t>UTCID04</t>
        </is>
      </c>
      <c r="J9" s="517" t="inlineStr">
        <is>
          <t>UTCID05</t>
        </is>
      </c>
      <c r="K9" s="517" t="inlineStr">
        <is>
          <t>UTCID06</t>
        </is>
      </c>
      <c r="L9" s="517" t="inlineStr">
        <is>
          <t>UTCID07</t>
        </is>
      </c>
      <c r="M9" s="517" t="inlineStr">
        <is>
          <t>UTCID08</t>
        </is>
      </c>
      <c r="N9" s="517" t="n"/>
      <c r="O9" s="517" t="n"/>
      <c r="P9" s="517" t="n"/>
      <c r="Q9" s="517" t="n"/>
      <c r="R9" s="517" t="n"/>
      <c r="S9" s="517" t="n"/>
      <c r="T9" s="518" t="n"/>
      <c r="U9" s="519" t="n"/>
      <c r="V9" s="487" t="n"/>
      <c r="W9" s="474" t="n"/>
    </row>
    <row r="10" ht="13.5" customHeight="1" s="354">
      <c r="A10" s="520" t="inlineStr">
        <is>
          <t>Condition</t>
        </is>
      </c>
      <c r="B10" s="521" t="inlineStr">
        <is>
          <t>Precondition</t>
        </is>
      </c>
      <c r="C10" s="522" t="n"/>
      <c r="D10" s="523" t="n"/>
      <c r="E10" s="524" t="n"/>
      <c r="F10" s="525" t="n"/>
      <c r="G10" s="525" t="n"/>
      <c r="H10" s="525" t="n"/>
      <c r="I10" s="525" t="n"/>
      <c r="J10" s="525" t="n"/>
      <c r="K10" s="525" t="n"/>
      <c r="L10" s="525" t="n"/>
      <c r="M10" s="525" t="n"/>
      <c r="N10" s="525" t="n"/>
      <c r="O10" s="525" t="n"/>
      <c r="P10" s="525" t="n"/>
      <c r="Q10" s="525" t="n"/>
      <c r="R10" s="525" t="n"/>
      <c r="S10" s="525" t="n"/>
      <c r="T10" s="526" t="n"/>
    </row>
    <row r="11" ht="13.5" customHeight="1" s="354">
      <c r="A11" s="527" t="n"/>
      <c r="B11" s="528" t="n"/>
      <c r="C11" s="529" t="n"/>
      <c r="D11" s="530" t="inlineStr">
        <is>
          <t>Pure function, no external dependency</t>
        </is>
      </c>
      <c r="E11" s="524" t="n"/>
      <c r="F11" s="531" t="inlineStr">
        <is>
          <t>O</t>
        </is>
      </c>
      <c r="G11" s="531" t="inlineStr">
        <is>
          <t>O</t>
        </is>
      </c>
      <c r="H11" s="531" t="inlineStr">
        <is>
          <t>O</t>
        </is>
      </c>
      <c r="I11" s="531" t="inlineStr">
        <is>
          <t>O</t>
        </is>
      </c>
      <c r="J11" s="531" t="inlineStr">
        <is>
          <t>O</t>
        </is>
      </c>
      <c r="K11" s="531" t="inlineStr">
        <is>
          <t>O</t>
        </is>
      </c>
      <c r="L11" s="531" t="inlineStr">
        <is>
          <t>O</t>
        </is>
      </c>
      <c r="M11" s="531" t="inlineStr">
        <is>
          <t>O</t>
        </is>
      </c>
      <c r="N11" s="531" t="n"/>
      <c r="O11" s="531" t="n"/>
      <c r="P11" s="531" t="n"/>
      <c r="Q11" s="531" t="n"/>
      <c r="R11" s="531" t="n"/>
      <c r="S11" s="531" t="n"/>
      <c r="T11" s="532" t="n"/>
      <c r="V11" s="487" t="n"/>
    </row>
    <row r="12" ht="13.5" customHeight="1" s="354">
      <c r="A12" s="527" t="n"/>
      <c r="B12" s="528" t="inlineStr">
        <is>
          <t>From → to</t>
        </is>
      </c>
      <c r="C12" s="529" t="n"/>
      <c r="D12" s="530" t="n"/>
      <c r="E12" s="524" t="n"/>
      <c r="F12" s="531" t="n"/>
      <c r="G12" s="531" t="n"/>
      <c r="H12" s="531" t="n"/>
      <c r="I12" s="531" t="n"/>
      <c r="J12" s="531" t="n"/>
      <c r="K12" s="531" t="n"/>
      <c r="L12" s="531" t="n"/>
      <c r="M12" s="531" t="n"/>
      <c r="N12" s="531" t="n"/>
      <c r="O12" s="531" t="n"/>
      <c r="P12" s="531" t="n"/>
      <c r="Q12" s="531" t="n"/>
      <c r="R12" s="531" t="n"/>
      <c r="S12" s="531" t="n"/>
      <c r="T12" s="532" t="n"/>
    </row>
    <row r="13" ht="13.5" customHeight="1" s="354">
      <c r="A13" s="527" t="n"/>
      <c r="B13" s="528" t="n"/>
      <c r="C13" s="529" t="n"/>
      <c r="D13" s="530" t="inlineStr">
        <is>
          <t>happy path step (e.g. picking → picked)</t>
        </is>
      </c>
      <c r="E13" s="533" t="n"/>
      <c r="F13" s="531" t="inlineStr">
        <is>
          <t>O</t>
        </is>
      </c>
      <c r="G13" s="531" t="n"/>
      <c r="H13" s="531" t="n"/>
      <c r="I13" s="531" t="n"/>
      <c r="J13" s="531" t="n"/>
      <c r="K13" s="531" t="n"/>
      <c r="L13" s="531" t="n"/>
      <c r="M13" s="531" t="n"/>
      <c r="N13" s="531" t="n"/>
      <c r="O13" s="531" t="n"/>
      <c r="P13" s="531" t="n"/>
      <c r="Q13" s="531" t="n"/>
      <c r="R13" s="531" t="n"/>
      <c r="S13" s="531" t="n"/>
      <c r="T13" s="532" t="n"/>
    </row>
    <row r="14" ht="13.5" customHeight="1" s="354">
      <c r="A14" s="527" t="n"/>
      <c r="B14" s="528" t="n"/>
      <c r="C14" s="529" t="n"/>
      <c r="D14" s="530" t="inlineStr">
        <is>
          <t>pending_approval → picked</t>
        </is>
      </c>
      <c r="E14" s="534" t="n"/>
      <c r="F14" s="531" t="n"/>
      <c r="G14" s="531" t="inlineStr">
        <is>
          <t>O</t>
        </is>
      </c>
      <c r="H14" s="531" t="n"/>
      <c r="I14" s="531" t="n"/>
      <c r="J14" s="531" t="n"/>
      <c r="K14" s="531" t="n"/>
      <c r="L14" s="531" t="n"/>
      <c r="M14" s="531" t="n"/>
      <c r="N14" s="531" t="n"/>
      <c r="O14" s="531" t="n"/>
      <c r="P14" s="531" t="n"/>
      <c r="Q14" s="531" t="n"/>
      <c r="R14" s="531" t="n"/>
      <c r="S14" s="531" t="n"/>
      <c r="T14" s="532" t="n"/>
    </row>
    <row r="15" ht="13.5" customHeight="1" s="354">
      <c r="A15" s="527" t="n"/>
      <c r="B15" s="528" t="n"/>
      <c r="C15" s="529" t="n"/>
      <c r="D15" s="530" t="inlineStr">
        <is>
          <t>packed → canceled</t>
        </is>
      </c>
      <c r="E15" s="534" t="n"/>
      <c r="F15" s="531" t="n"/>
      <c r="G15" s="531" t="n"/>
      <c r="H15" s="531" t="inlineStr">
        <is>
          <t>O</t>
        </is>
      </c>
      <c r="I15" s="531" t="n"/>
      <c r="J15" s="531" t="n"/>
      <c r="K15" s="531" t="n"/>
      <c r="L15" s="531" t="n"/>
      <c r="M15" s="531" t="n"/>
      <c r="N15" s="531" t="n"/>
      <c r="O15" s="531" t="n"/>
      <c r="P15" s="531" t="n"/>
      <c r="Q15" s="531" t="n"/>
      <c r="R15" s="531" t="n"/>
      <c r="S15" s="531" t="n"/>
      <c r="T15" s="532" t="n"/>
    </row>
    <row r="16" ht="13.5" customHeight="1" s="354">
      <c r="A16" s="527" t="n"/>
      <c r="B16" s="528" t="n"/>
      <c r="C16" s="529" t="n"/>
      <c r="D16" s="530" t="inlineStr">
        <is>
          <t>shipped → packed</t>
        </is>
      </c>
      <c r="E16" s="534" t="n"/>
      <c r="F16" s="531" t="n"/>
      <c r="G16" s="531" t="n"/>
      <c r="H16" s="531" t="n"/>
      <c r="I16" s="531" t="inlineStr">
        <is>
          <t>O</t>
        </is>
      </c>
      <c r="J16" s="531" t="n"/>
      <c r="K16" s="531" t="n"/>
      <c r="L16" s="531" t="n"/>
      <c r="M16" s="531" t="n"/>
      <c r="N16" s="531" t="n"/>
      <c r="O16" s="531" t="n"/>
      <c r="P16" s="531" t="n"/>
      <c r="Q16" s="531" t="n"/>
      <c r="R16" s="531" t="n"/>
      <c r="S16" s="531" t="n"/>
      <c r="T16" s="532" t="n"/>
    </row>
    <row r="17" ht="13.5" customHeight="1" s="354">
      <c r="A17" s="527" t="n"/>
      <c r="B17" s="528" t="n"/>
      <c r="C17" s="529" t="n"/>
      <c r="D17" s="530" t="inlineStr">
        <is>
          <t>awaiting_packaging → packed</t>
        </is>
      </c>
      <c r="E17" s="534" t="n"/>
      <c r="F17" s="531" t="n"/>
      <c r="G17" s="531" t="n"/>
      <c r="H17" s="531" t="n"/>
      <c r="I17" s="531" t="n"/>
      <c r="J17" s="531" t="inlineStr">
        <is>
          <t>O</t>
        </is>
      </c>
      <c r="K17" s="531" t="n"/>
      <c r="L17" s="531" t="n"/>
      <c r="M17" s="531" t="n"/>
      <c r="N17" s="531" t="n"/>
      <c r="O17" s="531" t="n"/>
      <c r="P17" s="531" t="n"/>
      <c r="Q17" s="531" t="n"/>
      <c r="R17" s="531" t="n"/>
      <c r="S17" s="531" t="n"/>
      <c r="T17" s="532" t="n"/>
      <c r="U17" s="535" t="n"/>
    </row>
    <row r="18" ht="13.5" customHeight="1" s="354">
      <c r="A18" s="527" t="n"/>
      <c r="B18" s="528" t="n"/>
      <c r="C18" s="529" t="n"/>
      <c r="D18" s="530" t="inlineStr">
        <is>
          <t>packed → packed</t>
        </is>
      </c>
      <c r="E18" s="534" t="n"/>
      <c r="F18" s="531" t="n"/>
      <c r="G18" s="531" t="n"/>
      <c r="H18" s="531" t="n"/>
      <c r="I18" s="531" t="n"/>
      <c r="J18" s="531" t="n"/>
      <c r="K18" s="531" t="inlineStr">
        <is>
          <t>O</t>
        </is>
      </c>
      <c r="L18" s="531" t="n"/>
      <c r="M18" s="531" t="n"/>
      <c r="N18" s="531" t="n"/>
      <c r="O18" s="531" t="n"/>
      <c r="P18" s="531" t="n"/>
      <c r="Q18" s="531" t="n"/>
      <c r="R18" s="531" t="n"/>
      <c r="S18" s="531" t="n"/>
      <c r="T18" s="532" t="n"/>
      <c r="U18" s="535" t="n"/>
    </row>
    <row r="19" ht="13.5" customHeight="1" s="354">
      <c r="A19" s="527" t="n"/>
      <c r="B19" s="528" t="n"/>
      <c r="C19" s="529" t="n"/>
      <c r="D19" s="530" t="inlineStr">
        <is>
          <t>shipped → canceled</t>
        </is>
      </c>
      <c r="F19" s="531" t="n"/>
      <c r="G19" s="531" t="n"/>
      <c r="H19" s="531" t="n"/>
      <c r="I19" s="531" t="n"/>
      <c r="J19" s="531" t="n"/>
      <c r="K19" s="531" t="n"/>
      <c r="L19" s="531" t="inlineStr">
        <is>
          <t>O</t>
        </is>
      </c>
      <c r="M19" s="531" t="n"/>
      <c r="N19" s="531" t="n"/>
      <c r="O19" s="531" t="n"/>
      <c r="P19" s="531" t="n"/>
      <c r="Q19" s="531" t="n"/>
      <c r="R19" s="531" t="n"/>
      <c r="S19" s="531" t="n"/>
      <c r="T19" s="532" t="n"/>
    </row>
    <row r="20" ht="13.5" customHeight="1" s="354">
      <c r="A20" s="527" t="n"/>
      <c r="B20" s="528" t="n"/>
      <c r="C20" s="529" t="n"/>
      <c r="D20" s="530" t="inlineStr">
        <is>
          <t>canceled → any</t>
        </is>
      </c>
      <c r="E20" s="534" t="n"/>
      <c r="F20" s="531" t="n"/>
      <c r="G20" s="531" t="n"/>
      <c r="H20" s="531" t="n"/>
      <c r="I20" s="531" t="n"/>
      <c r="J20" s="531" t="n"/>
      <c r="K20" s="531" t="n"/>
      <c r="L20" s="531" t="n"/>
      <c r="M20" s="531" t="inlineStr">
        <is>
          <t>O</t>
        </is>
      </c>
      <c r="N20" s="531" t="n"/>
      <c r="O20" s="531" t="n"/>
      <c r="P20" s="531" t="n"/>
      <c r="Q20" s="531" t="n"/>
      <c r="R20" s="531" t="n"/>
      <c r="S20" s="531" t="n"/>
      <c r="T20" s="532" t="n"/>
    </row>
    <row r="21" ht="13.5" customHeight="1" s="354">
      <c r="A21" s="536" t="inlineStr">
        <is>
          <t>Confirm</t>
        </is>
      </c>
      <c r="B21" s="537" t="inlineStr">
        <is>
          <t>Return</t>
        </is>
      </c>
      <c r="C21" s="529" t="n"/>
      <c r="D21" s="530" t="n"/>
      <c r="E21" s="534" t="n"/>
      <c r="F21" s="531" t="n"/>
      <c r="G21" s="531" t="n"/>
      <c r="H21" s="531" t="n"/>
      <c r="I21" s="531" t="n"/>
      <c r="J21" s="531" t="n"/>
      <c r="K21" s="531" t="n"/>
      <c r="L21" s="531" t="n"/>
      <c r="M21" s="531" t="n"/>
      <c r="N21" s="531" t="n"/>
      <c r="O21" s="531" t="n"/>
      <c r="P21" s="531" t="n"/>
      <c r="Q21" s="531" t="n"/>
      <c r="R21" s="531" t="n"/>
      <c r="S21" s="531" t="n"/>
      <c r="T21" s="532" t="n"/>
    </row>
    <row r="22" ht="13.5" customHeight="1" s="354">
      <c r="A22" s="527" t="n"/>
      <c r="B22" s="528" t="n"/>
      <c r="C22" s="529" t="n"/>
      <c r="D22" s="544" t="inlineStr">
        <is>
          <t>true</t>
        </is>
      </c>
      <c r="E22" s="534" t="n"/>
      <c r="F22" s="531" t="inlineStr">
        <is>
          <t>O</t>
        </is>
      </c>
      <c r="G22" s="531" t="inlineStr">
        <is>
          <t>O</t>
        </is>
      </c>
      <c r="H22" s="531" t="inlineStr">
        <is>
          <t>O</t>
        </is>
      </c>
      <c r="I22" s="531" t="inlineStr">
        <is>
          <t>O</t>
        </is>
      </c>
      <c r="J22" s="531" t="n"/>
      <c r="K22" s="531" t="n"/>
      <c r="L22" s="531" t="n"/>
      <c r="M22" s="531" t="n"/>
      <c r="N22" s="531" t="n"/>
      <c r="O22" s="531" t="n"/>
      <c r="P22" s="531" t="n"/>
      <c r="Q22" s="531" t="n"/>
      <c r="R22" s="531" t="n"/>
      <c r="S22" s="531" t="n"/>
      <c r="T22" s="532" t="n"/>
    </row>
    <row r="23" ht="13.5" customHeight="1" s="354">
      <c r="A23" s="527" t="n"/>
      <c r="B23" s="528" t="n"/>
      <c r="C23" s="529" t="n"/>
      <c r="D23" s="544" t="inlineStr">
        <is>
          <t>false</t>
        </is>
      </c>
      <c r="E23" s="534" t="n"/>
      <c r="F23" s="531" t="n"/>
      <c r="G23" s="531" t="n"/>
      <c r="H23" s="531" t="n"/>
      <c r="I23" s="531" t="n"/>
      <c r="J23" s="531" t="inlineStr">
        <is>
          <t>O</t>
        </is>
      </c>
      <c r="K23" s="531" t="inlineStr">
        <is>
          <t>O</t>
        </is>
      </c>
      <c r="L23" s="531" t="inlineStr">
        <is>
          <t>O</t>
        </is>
      </c>
      <c r="M23" s="531" t="n"/>
      <c r="N23" s="531" t="n"/>
      <c r="O23" s="531" t="n"/>
      <c r="P23" s="531" t="n"/>
      <c r="Q23" s="531" t="n"/>
      <c r="R23" s="531" t="n"/>
      <c r="S23" s="531" t="n"/>
      <c r="T23" s="532" t="n"/>
    </row>
    <row r="24" ht="13.5" customHeight="1" s="354">
      <c r="A24" s="527" t="n"/>
      <c r="B24" s="528" t="n"/>
      <c r="C24" s="529" t="n"/>
      <c r="D24" s="544" t="inlineStr">
        <is>
          <t>[] (no next status)</t>
        </is>
      </c>
      <c r="E24" s="534" t="n"/>
      <c r="F24" s="531" t="n"/>
      <c r="G24" s="531" t="n"/>
      <c r="H24" s="531" t="n"/>
      <c r="I24" s="531" t="n"/>
      <c r="J24" s="531" t="n"/>
      <c r="K24" s="531" t="n"/>
      <c r="L24" s="531" t="n"/>
      <c r="M24" s="531" t="inlineStr">
        <is>
          <t>O</t>
        </is>
      </c>
      <c r="N24" s="531" t="n"/>
      <c r="O24" s="531" t="n"/>
      <c r="P24" s="531" t="n"/>
      <c r="Q24" s="531" t="n"/>
      <c r="R24" s="531" t="n"/>
      <c r="S24" s="531" t="n"/>
      <c r="T24" s="532" t="n"/>
    </row>
    <row r="25" ht="13.5" customHeight="1" s="354">
      <c r="A25" s="527" t="n"/>
      <c r="B25" s="537" t="inlineStr">
        <is>
          <t>Exception</t>
        </is>
      </c>
      <c r="C25" s="529" t="n"/>
      <c r="D25" s="530" t="n"/>
      <c r="E25" s="534" t="n"/>
      <c r="F25" s="531" t="n"/>
      <c r="G25" s="531" t="n"/>
      <c r="H25" s="531" t="n"/>
      <c r="I25" s="531" t="n"/>
      <c r="J25" s="531" t="n"/>
      <c r="K25" s="531" t="n"/>
      <c r="L25" s="531" t="n"/>
      <c r="M25" s="531" t="n"/>
      <c r="N25" s="531" t="n"/>
      <c r="O25" s="531" t="n"/>
      <c r="P25" s="531" t="n"/>
      <c r="Q25" s="531" t="n"/>
      <c r="R25" s="531" t="n"/>
      <c r="S25" s="531" t="n"/>
      <c r="T25" s="532" t="n"/>
    </row>
    <row r="26" ht="13.5" customHeight="1" s="354">
      <c r="A26" s="527" t="n"/>
      <c r="B26" s="537" t="inlineStr">
        <is>
          <t>Log message</t>
        </is>
      </c>
      <c r="C26" s="529" t="n"/>
      <c r="D26" s="530" t="n"/>
      <c r="E26" s="534" t="n"/>
      <c r="F26" s="531" t="n"/>
      <c r="G26" s="531" t="n"/>
      <c r="H26" s="531" t="n"/>
      <c r="I26" s="531" t="n"/>
      <c r="J26" s="531" t="n"/>
      <c r="K26" s="531" t="n"/>
      <c r="L26" s="531" t="n"/>
      <c r="M26" s="531" t="n"/>
      <c r="N26" s="531" t="n"/>
      <c r="O26" s="531" t="n"/>
      <c r="P26" s="531" t="n"/>
      <c r="Q26" s="531" t="n"/>
      <c r="R26" s="531" t="n"/>
      <c r="S26" s="531" t="n"/>
      <c r="T26" s="532" t="n"/>
    </row>
    <row r="27" ht="13.5" customHeight="1" s="354">
      <c r="A27" s="527" t="n"/>
      <c r="B27" s="528" t="n"/>
      <c r="C27" s="529" t="n"/>
      <c r="D27" s="544" t="inlineStr">
        <is>
          <t>Test name in allowed-status-transitions.spec.ts (line)</t>
        </is>
      </c>
      <c r="E27" s="534" t="n"/>
      <c r="F27" s="531" t="inlineStr">
        <is>
          <t>line 29</t>
        </is>
      </c>
      <c r="G27" s="531" t="inlineStr">
        <is>
          <t>line 35</t>
        </is>
      </c>
      <c r="H27" s="531" t="inlineStr">
        <is>
          <t>line 154</t>
        </is>
      </c>
      <c r="I27" s="531" t="inlineStr">
        <is>
          <t>line 176</t>
        </is>
      </c>
      <c r="J27" s="531" t="inlineStr">
        <is>
          <t>line 115</t>
        </is>
      </c>
      <c r="K27" s="531" t="inlineStr">
        <is>
          <t>line 115</t>
        </is>
      </c>
      <c r="L27" s="531" t="inlineStr">
        <is>
          <t>line 147</t>
        </is>
      </c>
      <c r="M27" s="531" t="inlineStr">
        <is>
          <t>line 164</t>
        </is>
      </c>
      <c r="N27" s="531" t="n"/>
      <c r="O27" s="531" t="n"/>
      <c r="P27" s="531" t="n"/>
      <c r="Q27" s="531" t="n"/>
      <c r="R27" s="531" t="n"/>
      <c r="S27" s="531" t="n"/>
      <c r="T27" s="532" t="n"/>
    </row>
    <row r="28" ht="13.5" customHeight="1" s="354">
      <c r="A28" s="536" t="inlineStr">
        <is>
          <t>Result</t>
        </is>
      </c>
      <c r="B28" s="557" t="inlineStr">
        <is>
          <t>Type(N : Normal, A : Abnormal, B : Boundary)</t>
        </is>
      </c>
      <c r="C28" s="529" t="n"/>
      <c r="D28" s="530" t="n"/>
      <c r="E28" s="534" t="n"/>
      <c r="F28" s="558" t="inlineStr">
        <is>
          <t>N</t>
        </is>
      </c>
      <c r="G28" s="558" t="inlineStr">
        <is>
          <t>N</t>
        </is>
      </c>
      <c r="H28" s="558" t="inlineStr">
        <is>
          <t>N</t>
        </is>
      </c>
      <c r="I28" s="558" t="inlineStr">
        <is>
          <t>N</t>
        </is>
      </c>
      <c r="J28" s="558" t="inlineStr">
        <is>
          <t>A</t>
        </is>
      </c>
      <c r="K28" s="558" t="inlineStr">
        <is>
          <t>B</t>
        </is>
      </c>
      <c r="L28" s="558" t="inlineStr">
        <is>
          <t>A</t>
        </is>
      </c>
      <c r="M28" s="558" t="inlineStr">
        <is>
          <t>B</t>
        </is>
      </c>
      <c r="N28" s="531" t="n"/>
      <c r="O28" s="531" t="n"/>
      <c r="P28" s="531" t="n"/>
      <c r="Q28" s="531" t="n"/>
      <c r="R28" s="531" t="n"/>
      <c r="S28" s="531" t="n"/>
      <c r="T28" s="532" t="n"/>
    </row>
    <row r="29" ht="13.5" customHeight="1" s="354">
      <c r="A29" s="527" t="n"/>
      <c r="B29" s="557" t="inlineStr">
        <is>
          <t>Passed/Failed</t>
        </is>
      </c>
      <c r="C29" s="529" t="n"/>
      <c r="D29" s="530" t="n"/>
      <c r="E29" s="534" t="n"/>
      <c r="F29" s="562" t="inlineStr">
        <is>
          <t>P</t>
        </is>
      </c>
      <c r="G29" s="562" t="inlineStr">
        <is>
          <t>P</t>
        </is>
      </c>
      <c r="H29" s="562" t="inlineStr">
        <is>
          <t>P</t>
        </is>
      </c>
      <c r="I29" s="562" t="inlineStr">
        <is>
          <t>P</t>
        </is>
      </c>
      <c r="J29" s="562" t="inlineStr">
        <is>
          <t>P</t>
        </is>
      </c>
      <c r="K29" s="562" t="inlineStr">
        <is>
          <t>P</t>
        </is>
      </c>
      <c r="L29" s="562" t="inlineStr">
        <is>
          <t>P</t>
        </is>
      </c>
      <c r="M29" s="562" t="inlineStr">
        <is>
          <t>P</t>
        </is>
      </c>
      <c r="N29" s="531" t="n"/>
      <c r="O29" s="531" t="n"/>
      <c r="P29" s="531" t="n"/>
      <c r="Q29" s="531" t="n"/>
      <c r="R29" s="531" t="n"/>
      <c r="S29" s="531" t="n"/>
      <c r="T29" s="532" t="n"/>
    </row>
    <row r="30" ht="13.5" customHeight="1" s="354">
      <c r="A30" s="527" t="n"/>
      <c r="B30" s="557" t="inlineStr">
        <is>
          <t>Executed Date</t>
        </is>
      </c>
      <c r="C30" s="538" t="n"/>
      <c r="D30" s="539" t="n"/>
      <c r="E30" s="540" t="n"/>
      <c r="F30" s="531" t="inlineStr">
        <is>
          <t>25/10/2026</t>
        </is>
      </c>
      <c r="G30" s="531" t="inlineStr">
        <is>
          <t>25/10/2026</t>
        </is>
      </c>
      <c r="H30" s="531" t="inlineStr">
        <is>
          <t>25/10/2026</t>
        </is>
      </c>
      <c r="I30" s="531" t="inlineStr">
        <is>
          <t>25/10/2026</t>
        </is>
      </c>
      <c r="J30" s="531" t="inlineStr">
        <is>
          <t>25/10/2026</t>
        </is>
      </c>
      <c r="K30" s="531" t="inlineStr">
        <is>
          <t>25/10/2026</t>
        </is>
      </c>
      <c r="L30" s="531" t="inlineStr">
        <is>
          <t>25/10/2026</t>
        </is>
      </c>
      <c r="M30" s="531" t="inlineStr">
        <is>
          <t>25/10/2026</t>
        </is>
      </c>
      <c r="N30" s="541" t="n"/>
      <c r="O30" s="541" t="n"/>
      <c r="P30" s="541" t="n"/>
      <c r="Q30" s="541" t="n"/>
      <c r="R30" s="541" t="n"/>
      <c r="S30" s="541" t="n"/>
      <c r="T30" s="542" t="n"/>
    </row>
    <row r="31" ht="13.5" customHeight="1" s="354">
      <c r="A31" s="536" t="n"/>
      <c r="B31" s="537" t="n"/>
      <c r="C31" s="543" t="n"/>
      <c r="D31" s="573" t="n"/>
      <c r="E31" s="545" t="n"/>
      <c r="F31" s="525" t="n"/>
      <c r="G31" s="525" t="n"/>
      <c r="H31" s="525" t="n"/>
      <c r="I31" s="525" t="n"/>
      <c r="J31" s="525" t="n"/>
      <c r="K31" s="525" t="n"/>
      <c r="L31" s="525" t="n"/>
      <c r="M31" s="525" t="n"/>
      <c r="N31" s="525" t="n"/>
      <c r="O31" s="525" t="n"/>
      <c r="P31" s="525" t="n"/>
      <c r="Q31" s="525" t="n"/>
      <c r="R31" s="525" t="n"/>
      <c r="S31" s="525" t="n"/>
      <c r="T31" s="526" t="n"/>
    </row>
    <row r="32" ht="13.5" customHeight="1" s="354">
      <c r="A32" s="546" t="n"/>
      <c r="B32" s="547" t="n"/>
      <c r="C32" s="548" t="n"/>
      <c r="D32" s="544" t="n"/>
      <c r="E32" s="549" t="n"/>
      <c r="F32" s="531" t="n"/>
      <c r="G32" s="531" t="n"/>
      <c r="H32" s="531" t="n"/>
      <c r="I32" s="531" t="n"/>
      <c r="J32" s="531" t="n"/>
      <c r="K32" s="531" t="n"/>
      <c r="L32" s="531" t="n"/>
      <c r="M32" s="531" t="n"/>
      <c r="N32" s="531" t="n"/>
      <c r="O32" s="531" t="n"/>
      <c r="P32" s="531" t="n"/>
      <c r="Q32" s="531" t="n"/>
      <c r="R32" s="531" t="n"/>
      <c r="S32" s="531" t="n"/>
      <c r="T32" s="532" t="n"/>
    </row>
    <row r="33" ht="13.5" customHeight="1" s="354">
      <c r="A33" s="546" t="n"/>
      <c r="B33" s="547" t="n"/>
      <c r="C33" s="550" t="n"/>
      <c r="D33" s="544" t="n"/>
      <c r="E33" s="551" t="n"/>
      <c r="F33" s="531" t="n"/>
      <c r="G33" s="531" t="n"/>
      <c r="H33" s="531" t="n"/>
      <c r="I33" s="531" t="n"/>
      <c r="J33" s="531" t="n"/>
      <c r="K33" s="531" t="n"/>
      <c r="L33" s="531" t="n"/>
      <c r="M33" s="531" t="n"/>
      <c r="N33" s="531" t="n"/>
      <c r="O33" s="531" t="n"/>
      <c r="P33" s="531" t="n"/>
      <c r="Q33" s="531" t="n"/>
      <c r="R33" s="531" t="n"/>
      <c r="S33" s="531" t="n"/>
      <c r="T33" s="532" t="n"/>
    </row>
    <row r="34" ht="13.5" customHeight="1" s="354">
      <c r="A34" s="546" t="n"/>
      <c r="B34" s="547" t="n"/>
      <c r="C34" s="550" t="n"/>
      <c r="D34" s="544" t="n"/>
      <c r="E34" s="551" t="n"/>
      <c r="F34" s="531" t="n"/>
      <c r="G34" s="531" t="n"/>
      <c r="H34" s="531" t="n"/>
      <c r="I34" s="531" t="n"/>
      <c r="J34" s="531" t="n"/>
      <c r="K34" s="531" t="n"/>
      <c r="L34" s="531" t="n"/>
      <c r="M34" s="531" t="n"/>
      <c r="N34" s="531" t="n"/>
      <c r="O34" s="531" t="n"/>
      <c r="P34" s="531" t="n"/>
      <c r="Q34" s="531" t="n"/>
      <c r="R34" s="531" t="n"/>
      <c r="S34" s="531" t="n"/>
      <c r="T34" s="532" t="n"/>
    </row>
    <row r="35" ht="13.5" customHeight="1" s="354">
      <c r="A35" s="546" t="n"/>
      <c r="B35" s="547" t="n"/>
      <c r="C35" s="550" t="n"/>
      <c r="D35" s="544" t="n"/>
      <c r="E35" s="551" t="n"/>
      <c r="F35" s="531" t="n"/>
      <c r="G35" s="531" t="n"/>
      <c r="H35" s="531" t="n"/>
      <c r="I35" s="531" t="n"/>
      <c r="J35" s="531" t="n"/>
      <c r="K35" s="531" t="n"/>
      <c r="L35" s="531" t="n"/>
      <c r="M35" s="531" t="n"/>
      <c r="N35" s="531" t="n"/>
      <c r="O35" s="531" t="n"/>
      <c r="P35" s="531" t="n"/>
      <c r="Q35" s="531" t="n"/>
      <c r="R35" s="531" t="n"/>
      <c r="S35" s="531" t="n"/>
      <c r="T35" s="532" t="n"/>
    </row>
    <row r="36" ht="13.5" customHeight="1" s="354">
      <c r="A36" s="546" t="n"/>
      <c r="B36" s="547" t="n"/>
      <c r="C36" s="550" t="n"/>
      <c r="D36" s="544" t="n"/>
      <c r="E36" s="551" t="n"/>
      <c r="F36" s="531" t="n"/>
      <c r="G36" s="531" t="n"/>
      <c r="H36" s="531" t="n"/>
      <c r="I36" s="531" t="n"/>
      <c r="J36" s="531" t="n"/>
      <c r="K36" s="531" t="n"/>
      <c r="L36" s="531" t="n"/>
      <c r="M36" s="531" t="n"/>
      <c r="N36" s="531" t="n"/>
      <c r="O36" s="531" t="n"/>
      <c r="P36" s="531" t="n"/>
      <c r="Q36" s="531" t="n"/>
      <c r="R36" s="531" t="n"/>
      <c r="S36" s="531" t="n"/>
      <c r="T36" s="532" t="n"/>
    </row>
    <row r="37" ht="13.5" customHeight="1" s="354">
      <c r="A37" s="546" t="n"/>
      <c r="B37" s="547" t="n"/>
      <c r="C37" s="550" t="n"/>
      <c r="D37" s="544" t="n"/>
      <c r="E37" s="551" t="n"/>
      <c r="F37" s="531" t="n"/>
      <c r="G37" s="531" t="n"/>
      <c r="H37" s="531" t="n"/>
      <c r="I37" s="531" t="n"/>
      <c r="J37" s="531" t="n"/>
      <c r="K37" s="531" t="n"/>
      <c r="L37" s="531" t="n"/>
      <c r="M37" s="531" t="n"/>
      <c r="N37" s="531" t="n"/>
      <c r="O37" s="531" t="n"/>
      <c r="P37" s="531" t="n"/>
      <c r="Q37" s="531" t="n"/>
      <c r="R37" s="531" t="n"/>
      <c r="S37" s="531" t="n"/>
      <c r="T37" s="532" t="n"/>
    </row>
    <row r="38" ht="13.5" customHeight="1" s="354">
      <c r="A38" s="546" t="n"/>
      <c r="B38" s="552" t="n"/>
      <c r="C38" s="553" t="n"/>
      <c r="D38" s="575" t="n"/>
      <c r="E38" s="554" t="n"/>
      <c r="F38" s="555" t="n"/>
      <c r="G38" s="555" t="n"/>
      <c r="H38" s="555" t="n"/>
      <c r="I38" s="555" t="n"/>
      <c r="J38" s="555" t="n"/>
      <c r="K38" s="555" t="n"/>
      <c r="L38" s="555" t="n"/>
      <c r="M38" s="555" t="n"/>
      <c r="N38" s="555" t="n"/>
      <c r="O38" s="555" t="n"/>
      <c r="P38" s="555" t="n"/>
      <c r="Q38" s="555" t="n"/>
      <c r="R38" s="555" t="n"/>
      <c r="S38" s="555" t="n"/>
      <c r="T38" s="556" t="n"/>
    </row>
    <row r="39" ht="13.5" customHeight="1" s="354">
      <c r="A39" s="536" t="n"/>
      <c r="B39" s="557" t="n"/>
      <c r="E39" s="557" t="n"/>
      <c r="F39" s="558" t="n"/>
      <c r="G39" s="558" t="n"/>
      <c r="H39" s="558" t="n"/>
      <c r="I39" s="558" t="n"/>
      <c r="J39" s="558" t="n"/>
      <c r="K39" s="558" t="n"/>
      <c r="L39" s="558" t="n"/>
      <c r="M39" s="558" t="n"/>
      <c r="N39" s="558" t="n"/>
      <c r="O39" s="558" t="n"/>
      <c r="P39" s="558" t="n"/>
      <c r="Q39" s="558" t="n"/>
      <c r="R39" s="558" t="n"/>
      <c r="S39" s="558" t="n"/>
      <c r="T39" s="559" t="n"/>
    </row>
    <row r="40" ht="13.5" customHeight="1" s="354">
      <c r="A40" s="546" t="n"/>
      <c r="B40" s="560" t="n"/>
      <c r="E40" s="561" t="n"/>
      <c r="F40" s="562" t="n"/>
      <c r="G40" s="562" t="n"/>
      <c r="H40" s="562" t="n"/>
      <c r="I40" s="562" t="n"/>
      <c r="J40" s="562" t="n"/>
      <c r="K40" s="562" t="n"/>
      <c r="L40" s="562" t="n"/>
      <c r="M40" s="562" t="n"/>
      <c r="N40" s="562" t="n"/>
      <c r="O40" s="562" t="n"/>
      <c r="P40" s="562" t="n"/>
      <c r="Q40" s="562" t="n"/>
      <c r="R40" s="562" t="n"/>
      <c r="S40" s="562" t="n"/>
      <c r="T40" s="563" t="n"/>
    </row>
    <row r="41" ht="13.5" customHeight="1" s="354">
      <c r="A41" s="546" t="n"/>
      <c r="B41" s="574" t="n"/>
      <c r="E41" s="564" t="n"/>
      <c r="F41" s="565" t="n"/>
      <c r="G41" s="565" t="n"/>
      <c r="H41" s="565" t="n"/>
      <c r="I41" s="565" t="n"/>
      <c r="J41" s="565" t="n"/>
      <c r="K41" s="565" t="n"/>
      <c r="L41" s="565" t="n"/>
      <c r="M41" s="565" t="n"/>
      <c r="N41" s="565" t="n"/>
      <c r="O41" s="565" t="n"/>
      <c r="P41" s="565" t="n"/>
      <c r="Q41" s="565" t="n"/>
      <c r="R41" s="565" t="n"/>
      <c r="S41" s="565" t="n"/>
      <c r="T41" s="566" t="n"/>
    </row>
    <row r="42" ht="80" customHeight="1" s="354">
      <c r="A42" s="567" t="n"/>
      <c r="B42" s="576" t="n"/>
      <c r="E42" s="568" t="n"/>
      <c r="F42" s="569" t="n"/>
      <c r="G42" s="569" t="n"/>
      <c r="H42" s="569" t="n"/>
      <c r="I42" s="569" t="n"/>
      <c r="J42" s="569" t="n"/>
      <c r="K42" s="569" t="n"/>
      <c r="L42" s="569" t="n"/>
      <c r="M42" s="569" t="n"/>
      <c r="N42" s="569" t="n"/>
      <c r="O42" s="569" t="n"/>
      <c r="P42" s="569" t="n"/>
      <c r="Q42" s="569" t="n"/>
      <c r="R42" s="569" t="n"/>
      <c r="S42" s="569" t="n"/>
      <c r="T42" s="570" t="n"/>
    </row>
    <row r="43" ht="12" customHeight="1" s="354">
      <c r="A43" s="571" t="n"/>
    </row>
  </sheetData>
  <mergeCells count="23">
    <mergeCell ref="F2:K2"/>
    <mergeCell ref="A6:B6"/>
    <mergeCell ref="C4:D4"/>
    <mergeCell ref="C2:E2"/>
    <mergeCell ref="L4:T4"/>
    <mergeCell ref="A7:B7"/>
    <mergeCell ref="C7:E7"/>
    <mergeCell ref="L6:N6"/>
    <mergeCell ref="A3:B3"/>
    <mergeCell ref="A2:B2"/>
    <mergeCell ref="A5:B5"/>
    <mergeCell ref="C3:E3"/>
    <mergeCell ref="O7:T7"/>
    <mergeCell ref="F4:K4"/>
    <mergeCell ref="C6:E6"/>
    <mergeCell ref="A4:B4"/>
    <mergeCell ref="L2:T2"/>
    <mergeCell ref="O6:T6"/>
    <mergeCell ref="F6:K6"/>
    <mergeCell ref="C5:T5"/>
    <mergeCell ref="F7:K7"/>
    <mergeCell ref="L3:N3"/>
    <mergeCell ref="F3:K3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W53"/>
  <sheetViews>
    <sheetView workbookViewId="0">
      <selection activeCell="A1" sqref="A1"/>
    </sheetView>
  </sheetViews>
  <sheetFormatPr baseColWidth="8" defaultColWidth="8.99609375" defaultRowHeight="13.5" zeroHeight="0" outlineLevelRow="0"/>
  <cols>
    <col width="8.16" customWidth="1" style="474" min="1" max="1"/>
    <col width="13.32" customWidth="1" style="475" min="2" max="2"/>
    <col width="10.82" customWidth="1" style="474" min="3" max="3"/>
    <col width="34" customWidth="1" style="476" min="4" max="4"/>
    <col hidden="1" width="1.82" customWidth="1" style="474" min="5" max="5"/>
    <col width="10" customWidth="1" style="474" min="6" max="21"/>
    <col width="10" customWidth="1" style="354" min="7" max="7"/>
    <col width="10" customWidth="1" style="354" min="8" max="8"/>
    <col width="10" customWidth="1" style="354" min="9" max="9"/>
    <col width="10" customWidth="1" style="354" min="10" max="10"/>
    <col width="10" customWidth="1" style="354" min="11" max="11"/>
    <col width="10" customWidth="1" style="354" min="12" max="12"/>
    <col width="10" customWidth="1" style="354" min="13" max="13"/>
    <col width="10" customWidth="1" style="354" min="14" max="14"/>
    <col width="10" customWidth="1" style="354" min="15" max="15"/>
    <col width="10" customWidth="1" style="354" min="16" max="16"/>
    <col width="10" customWidth="1" style="354" min="17" max="17"/>
    <col width="8.99" customWidth="1" style="474" min="22" max="257"/>
  </cols>
  <sheetData>
    <row r="1" ht="13.5" customHeight="1" s="354">
      <c r="A1" s="477" t="n"/>
      <c r="B1" s="478" t="n"/>
    </row>
    <row r="2" ht="13.5" customHeight="1" s="354">
      <c r="A2" s="479" t="inlineStr">
        <is>
          <t>Function Code</t>
        </is>
      </c>
      <c r="B2" s="480" t="n"/>
      <c r="C2" s="481" t="inlineStr">
        <is>
          <t>UT-RETURNS</t>
        </is>
      </c>
      <c r="D2" s="480" t="n"/>
      <c r="E2" s="482" t="n"/>
      <c r="F2" s="483" t="inlineStr">
        <is>
          <t>Function Name</t>
        </is>
      </c>
      <c r="G2" s="484" t="n"/>
      <c r="H2" s="484" t="n"/>
      <c r="I2" s="484" t="n"/>
      <c r="J2" s="484" t="n"/>
      <c r="K2" s="484" t="n"/>
      <c r="L2" s="485" t="inlineStr">
        <is>
          <t>ReturnsService.createSimulated / approve / reject / receive / inspect</t>
        </is>
      </c>
      <c r="M2" s="480" t="n"/>
      <c r="N2" s="480" t="n"/>
      <c r="O2" s="480" t="n"/>
      <c r="P2" s="480" t="n"/>
      <c r="Q2" s="480" t="n"/>
      <c r="R2" s="480" t="n"/>
      <c r="S2" s="480" t="n"/>
      <c r="T2" s="486" t="n"/>
      <c r="V2" s="487" t="n"/>
    </row>
    <row r="3" ht="13.5" customHeight="1" s="354">
      <c r="A3" s="488" t="inlineStr">
        <is>
          <t>Created By</t>
        </is>
      </c>
      <c r="B3" s="369" t="n"/>
      <c r="C3" s="489" t="inlineStr">
        <is>
          <t>Thi, Thuận</t>
        </is>
      </c>
      <c r="D3" s="490" t="n"/>
      <c r="E3" s="491" t="n"/>
      <c r="F3" s="492" t="inlineStr">
        <is>
          <t>Executed By</t>
        </is>
      </c>
      <c r="G3" s="368" t="n"/>
      <c r="H3" s="368" t="n"/>
      <c r="I3" s="368" t="n"/>
      <c r="J3" s="368" t="n"/>
      <c r="K3" s="369" t="n"/>
      <c r="L3" s="493" t="inlineStr">
        <is>
          <t>GitHub Actions CI (run #258, commit 1a3101c)</t>
        </is>
      </c>
      <c r="M3" s="490" t="n"/>
      <c r="N3" s="490" t="n"/>
      <c r="O3" s="494" t="n"/>
      <c r="P3" s="494" t="n"/>
      <c r="Q3" s="494" t="n"/>
      <c r="R3" s="494" t="n"/>
      <c r="S3" s="494" t="n"/>
      <c r="T3" s="495" t="n"/>
    </row>
    <row r="4" ht="13.5" customHeight="1" s="354">
      <c r="A4" s="488" t="inlineStr">
        <is>
          <t>Lines  of code</t>
        </is>
      </c>
      <c r="B4" s="369" t="n"/>
      <c r="C4" s="496" t="n">
        <v>351</v>
      </c>
      <c r="D4" s="368" t="n"/>
      <c r="E4" s="497" t="n"/>
      <c r="F4" s="492" t="inlineStr">
        <is>
          <t>Lack of test cases</t>
        </is>
      </c>
      <c r="G4" s="368" t="n"/>
      <c r="H4" s="368" t="n"/>
      <c r="I4" s="368" t="n"/>
      <c r="J4" s="368" t="n"/>
      <c r="K4" s="369" t="n"/>
      <c r="L4" s="498">
        <f>IF(Functions!E6&lt;&gt;"N/A",SUM(C4*Functions!E6/1000,-O7),"N/A")</f>
        <v/>
      </c>
      <c r="M4" s="368" t="n"/>
      <c r="N4" s="368" t="n"/>
      <c r="O4" s="368" t="n"/>
      <c r="P4" s="368" t="n"/>
      <c r="Q4" s="368" t="n"/>
      <c r="R4" s="368" t="n"/>
      <c r="S4" s="368" t="n"/>
      <c r="T4" s="499" t="n"/>
      <c r="V4" s="487" t="n"/>
    </row>
    <row r="5" ht="13.5" customHeight="1" s="354">
      <c r="A5" s="488" t="inlineStr">
        <is>
          <t>Test requirement</t>
        </is>
      </c>
      <c r="B5" s="369" t="n"/>
      <c r="C5" s="500" t="inlineStr">
        <is>
          <t>Return ticket rules: 15-day window, one open ticket, no self-approval, reason required, inspection – SRS 3.8, BR-11, BR-12. Test file: be/src/modules/shipments/returns.service.spec.ts; source: be/src/modules/shipments/returns.service.ts</t>
        </is>
      </c>
      <c r="D5" s="368" t="n"/>
      <c r="E5" s="368" t="n"/>
      <c r="F5" s="368" t="n"/>
      <c r="G5" s="368" t="n"/>
      <c r="H5" s="368" t="n"/>
      <c r="I5" s="368" t="n"/>
      <c r="J5" s="368" t="n"/>
      <c r="K5" s="368" t="n"/>
      <c r="L5" s="368" t="n"/>
      <c r="M5" s="368" t="n"/>
      <c r="N5" s="368" t="n"/>
      <c r="O5" s="368" t="n"/>
      <c r="P5" s="368" t="n"/>
      <c r="Q5" s="368" t="n"/>
      <c r="R5" s="368" t="n"/>
      <c r="S5" s="368" t="n"/>
      <c r="T5" s="499" t="n"/>
    </row>
    <row r="6" ht="13.5" customHeight="1" s="354">
      <c r="A6" s="501" t="inlineStr">
        <is>
          <t>Passed</t>
        </is>
      </c>
      <c r="B6" s="369" t="n"/>
      <c r="C6" s="502" t="inlineStr">
        <is>
          <t>Failed</t>
        </is>
      </c>
      <c r="D6" s="368" t="n"/>
      <c r="E6" s="369" t="n"/>
      <c r="F6" s="502" t="inlineStr">
        <is>
          <t>Untested</t>
        </is>
      </c>
      <c r="G6" s="368" t="n"/>
      <c r="H6" s="368" t="n"/>
      <c r="I6" s="368" t="n"/>
      <c r="J6" s="368" t="n"/>
      <c r="K6" s="369" t="n"/>
      <c r="L6" s="503" t="inlineStr">
        <is>
          <t>N/A/B</t>
        </is>
      </c>
      <c r="M6" s="368" t="n"/>
      <c r="N6" s="368" t="n"/>
      <c r="O6" s="504" t="inlineStr">
        <is>
          <t>Total Test Cases</t>
        </is>
      </c>
      <c r="P6" s="368" t="n"/>
      <c r="Q6" s="368" t="n"/>
      <c r="R6" s="368" t="n"/>
      <c r="S6" s="368" t="n"/>
      <c r="T6" s="499" t="n"/>
      <c r="V6" s="487" t="n"/>
    </row>
    <row r="7" ht="13.5" customHeight="1" s="354">
      <c r="A7" s="505">
        <f>COUNTIF(F52:Q52,"P")</f>
        <v/>
      </c>
      <c r="B7" s="506" t="n"/>
      <c r="C7" s="507">
        <f>COUNTIF(F52:Q52,"F")</f>
        <v/>
      </c>
      <c r="D7" s="508" t="n"/>
      <c r="E7" s="506" t="n"/>
      <c r="F7" s="507">
        <f>SUM(O7,-A7,-C7)</f>
        <v/>
      </c>
      <c r="G7" s="508" t="n"/>
      <c r="H7" s="508" t="n"/>
      <c r="I7" s="508" t="n"/>
      <c r="J7" s="508" t="n"/>
      <c r="K7" s="506" t="n"/>
      <c r="L7" s="509">
        <f>COUNTIF(F51:Q51,"N")</f>
        <v/>
      </c>
      <c r="M7" s="509">
        <f>COUNTIF(F51:Q51,"A")</f>
        <v/>
      </c>
      <c r="N7" s="509">
        <f>COUNTIF(F51:Q51,"B")</f>
        <v/>
      </c>
      <c r="O7" s="510">
        <f>COUNTA(F9:Q9)</f>
        <v/>
      </c>
      <c r="P7" s="508" t="n"/>
      <c r="Q7" s="508" t="n"/>
      <c r="R7" s="508" t="n"/>
      <c r="S7" s="508" t="n"/>
      <c r="T7" s="511" t="n"/>
      <c r="U7" s="512" t="n"/>
    </row>
    <row r="8" ht="12" customHeight="1" s="354"/>
    <row r="9" ht="46.5" customHeight="1" s="354">
      <c r="A9" s="513" t="n"/>
      <c r="B9" s="514" t="n"/>
      <c r="C9" s="515" t="n"/>
      <c r="D9" s="516" t="n"/>
      <c r="E9" s="515" t="n"/>
      <c r="F9" s="517" t="inlineStr">
        <is>
          <t>UTCID01</t>
        </is>
      </c>
      <c r="G9" s="517" t="inlineStr">
        <is>
          <t>UTCID02</t>
        </is>
      </c>
      <c r="H9" s="517" t="inlineStr">
        <is>
          <t>UTCID03</t>
        </is>
      </c>
      <c r="I9" s="517" t="inlineStr">
        <is>
          <t>UTCID04</t>
        </is>
      </c>
      <c r="J9" s="517" t="inlineStr">
        <is>
          <t>UTCID05</t>
        </is>
      </c>
      <c r="K9" s="517" t="inlineStr">
        <is>
          <t>UTCID06</t>
        </is>
      </c>
      <c r="L9" s="517" t="inlineStr">
        <is>
          <t>UTCID07</t>
        </is>
      </c>
      <c r="M9" s="517" t="inlineStr">
        <is>
          <t>UTCID08</t>
        </is>
      </c>
      <c r="N9" s="517" t="inlineStr">
        <is>
          <t>UTCID09</t>
        </is>
      </c>
      <c r="O9" s="517" t="inlineStr">
        <is>
          <t>UTCID10</t>
        </is>
      </c>
      <c r="P9" s="517" t="inlineStr">
        <is>
          <t>UTCID11</t>
        </is>
      </c>
      <c r="Q9" s="517" t="inlineStr">
        <is>
          <t>UTCID12</t>
        </is>
      </c>
      <c r="R9" s="517" t="n"/>
      <c r="S9" s="517" t="n"/>
      <c r="T9" s="518" t="n"/>
      <c r="U9" s="519" t="n"/>
      <c r="V9" s="487" t="n"/>
      <c r="W9" s="474" t="n"/>
    </row>
    <row r="10" ht="13.5" customHeight="1" s="354">
      <c r="A10" s="520" t="inlineStr">
        <is>
          <t>Condition</t>
        </is>
      </c>
      <c r="B10" s="521" t="inlineStr">
        <is>
          <t>Precondition</t>
        </is>
      </c>
      <c r="C10" s="522" t="n"/>
      <c r="D10" s="523" t="n"/>
      <c r="E10" s="524" t="n"/>
      <c r="F10" s="525" t="n"/>
      <c r="G10" s="525" t="n"/>
      <c r="H10" s="525" t="n"/>
      <c r="I10" s="525" t="n"/>
      <c r="J10" s="525" t="n"/>
      <c r="K10" s="525" t="n"/>
      <c r="L10" s="525" t="n"/>
      <c r="M10" s="525" t="n"/>
      <c r="N10" s="525" t="n"/>
      <c r="O10" s="525" t="n"/>
      <c r="P10" s="525" t="n"/>
      <c r="Q10" s="525" t="n"/>
      <c r="R10" s="525" t="n"/>
      <c r="S10" s="525" t="n"/>
      <c r="T10" s="526" t="n"/>
    </row>
    <row r="11" ht="13.5" customHeight="1" s="354">
      <c r="A11" s="527" t="n"/>
      <c r="B11" s="528" t="n"/>
      <c r="C11" s="529" t="n"/>
      <c r="D11" s="530" t="inlineStr">
        <is>
          <t>MongoDB transaction available (mocked)</t>
        </is>
      </c>
      <c r="E11" s="524" t="n"/>
      <c r="F11" s="531" t="inlineStr">
        <is>
          <t>O</t>
        </is>
      </c>
      <c r="G11" s="531" t="inlineStr">
        <is>
          <t>O</t>
        </is>
      </c>
      <c r="H11" s="531" t="inlineStr">
        <is>
          <t>O</t>
        </is>
      </c>
      <c r="I11" s="531" t="inlineStr">
        <is>
          <t>O</t>
        </is>
      </c>
      <c r="J11" s="531" t="inlineStr">
        <is>
          <t>O</t>
        </is>
      </c>
      <c r="K11" s="531" t="inlineStr">
        <is>
          <t>O</t>
        </is>
      </c>
      <c r="L11" s="531" t="inlineStr">
        <is>
          <t>O</t>
        </is>
      </c>
      <c r="M11" s="531" t="inlineStr">
        <is>
          <t>O</t>
        </is>
      </c>
      <c r="N11" s="531" t="inlineStr">
        <is>
          <t>O</t>
        </is>
      </c>
      <c r="O11" s="531" t="inlineStr">
        <is>
          <t>O</t>
        </is>
      </c>
      <c r="P11" s="531" t="inlineStr">
        <is>
          <t>O</t>
        </is>
      </c>
      <c r="Q11" s="531" t="inlineStr">
        <is>
          <t>O</t>
        </is>
      </c>
      <c r="R11" s="531" t="n"/>
      <c r="S11" s="531" t="n"/>
      <c r="T11" s="532" t="n"/>
      <c r="V11" s="487" t="n"/>
    </row>
    <row r="12" ht="13.5" customHeight="1" s="354">
      <c r="A12" s="527" t="n"/>
      <c r="B12" s="528" t="inlineStr">
        <is>
          <t>Order group</t>
        </is>
      </c>
      <c r="C12" s="529" t="n"/>
      <c r="D12" s="530" t="n"/>
      <c r="E12" s="524" t="n"/>
      <c r="F12" s="531" t="n"/>
      <c r="G12" s="531" t="n"/>
      <c r="H12" s="531" t="n"/>
      <c r="I12" s="531" t="n"/>
      <c r="J12" s="531" t="n"/>
      <c r="K12" s="531" t="n"/>
      <c r="L12" s="531" t="n"/>
      <c r="M12" s="531" t="n"/>
      <c r="N12" s="531" t="n"/>
      <c r="O12" s="531" t="n"/>
      <c r="P12" s="531" t="n"/>
      <c r="Q12" s="531" t="n"/>
      <c r="R12" s="531" t="n"/>
      <c r="S12" s="531" t="n"/>
      <c r="T12" s="532" t="n"/>
    </row>
    <row r="13" ht="13.5" customHeight="1" s="354">
      <c r="A13" s="527" t="n"/>
      <c r="B13" s="528" t="n"/>
      <c r="C13" s="529" t="n"/>
      <c r="D13" s="530" t="inlineStr">
        <is>
          <t>delivered ≤ 15 days</t>
        </is>
      </c>
      <c r="E13" s="533" t="n"/>
      <c r="F13" s="531" t="n"/>
      <c r="G13" s="531" t="n"/>
      <c r="H13" s="531" t="n"/>
      <c r="I13" s="531" t="inlineStr">
        <is>
          <t>O</t>
        </is>
      </c>
      <c r="J13" s="531" t="inlineStr">
        <is>
          <t>O</t>
        </is>
      </c>
      <c r="K13" s="531" t="inlineStr">
        <is>
          <t>O</t>
        </is>
      </c>
      <c r="L13" s="531" t="n"/>
      <c r="M13" s="531" t="n"/>
      <c r="N13" s="531" t="n"/>
      <c r="O13" s="531" t="n"/>
      <c r="P13" s="531" t="n"/>
      <c r="Q13" s="531" t="n"/>
      <c r="R13" s="531" t="n"/>
      <c r="S13" s="531" t="n"/>
      <c r="T13" s="532" t="n"/>
    </row>
    <row r="14" ht="13.5" customHeight="1" s="354">
      <c r="A14" s="527" t="n"/>
      <c r="B14" s="528" t="n"/>
      <c r="C14" s="529" t="n"/>
      <c r="D14" s="530" t="inlineStr">
        <is>
          <t>delivered &gt; 15 days</t>
        </is>
      </c>
      <c r="E14" s="534" t="n"/>
      <c r="F14" s="531" t="n"/>
      <c r="G14" s="531" t="n"/>
      <c r="H14" s="531" t="inlineStr">
        <is>
          <t>O</t>
        </is>
      </c>
      <c r="I14" s="531" t="n"/>
      <c r="J14" s="531" t="n"/>
      <c r="K14" s="531" t="n"/>
      <c r="L14" s="531" t="n"/>
      <c r="M14" s="531" t="n"/>
      <c r="N14" s="531" t="n"/>
      <c r="O14" s="531" t="n"/>
      <c r="P14" s="531" t="n"/>
      <c r="Q14" s="531" t="n"/>
      <c r="R14" s="531" t="n"/>
      <c r="S14" s="531" t="n"/>
      <c r="T14" s="532" t="n"/>
    </row>
    <row r="15" ht="13.5" customHeight="1" s="354">
      <c r="A15" s="527" t="n"/>
      <c r="B15" s="528" t="n"/>
      <c r="C15" s="529" t="n"/>
      <c r="D15" s="530" t="inlineStr">
        <is>
          <t>not delivered</t>
        </is>
      </c>
      <c r="E15" s="534" t="n"/>
      <c r="F15" s="531" t="n"/>
      <c r="G15" s="531" t="inlineStr">
        <is>
          <t>O</t>
        </is>
      </c>
      <c r="H15" s="531" t="n"/>
      <c r="I15" s="531" t="n"/>
      <c r="J15" s="531" t="n"/>
      <c r="K15" s="531" t="n"/>
      <c r="L15" s="531" t="n"/>
      <c r="M15" s="531" t="n"/>
      <c r="N15" s="531" t="n"/>
      <c r="O15" s="531" t="n"/>
      <c r="P15" s="531" t="n"/>
      <c r="Q15" s="531" t="n"/>
      <c r="R15" s="531" t="n"/>
      <c r="S15" s="531" t="n"/>
      <c r="T15" s="532" t="n"/>
    </row>
    <row r="16" ht="13.5" customHeight="1" s="354">
      <c r="A16" s="527" t="n"/>
      <c r="B16" s="528" t="n"/>
      <c r="C16" s="529" t="n"/>
      <c r="D16" s="530" t="inlineStr">
        <is>
          <t>AURELLE (marketplace-managed)</t>
        </is>
      </c>
      <c r="E16" s="534" t="n"/>
      <c r="F16" s="531" t="inlineStr">
        <is>
          <t>O</t>
        </is>
      </c>
      <c r="G16" s="531" t="n"/>
      <c r="H16" s="531" t="n"/>
      <c r="I16" s="531" t="n"/>
      <c r="J16" s="531" t="n"/>
      <c r="K16" s="531" t="n"/>
      <c r="L16" s="531" t="n"/>
      <c r="M16" s="531" t="n"/>
      <c r="N16" s="531" t="n"/>
      <c r="O16" s="531" t="n"/>
      <c r="P16" s="531" t="n"/>
      <c r="Q16" s="531" t="n"/>
      <c r="R16" s="531" t="n"/>
      <c r="S16" s="531" t="n"/>
      <c r="T16" s="532" t="n"/>
    </row>
    <row r="17" ht="13.5" customHeight="1" s="354">
      <c r="A17" s="527" t="n"/>
      <c r="B17" s="528" t="inlineStr">
        <is>
          <t>Ticket</t>
        </is>
      </c>
      <c r="C17" s="529" t="n"/>
      <c r="D17" s="530" t="n"/>
      <c r="E17" s="534" t="n"/>
      <c r="F17" s="531" t="n"/>
      <c r="G17" s="531" t="n"/>
      <c r="H17" s="531" t="n"/>
      <c r="I17" s="531" t="n"/>
      <c r="J17" s="531" t="n"/>
      <c r="K17" s="531" t="n"/>
      <c r="L17" s="531" t="n"/>
      <c r="M17" s="531" t="n"/>
      <c r="N17" s="531" t="n"/>
      <c r="O17" s="531" t="n"/>
      <c r="P17" s="531" t="n"/>
      <c r="Q17" s="531" t="n"/>
      <c r="R17" s="531" t="n"/>
      <c r="S17" s="531" t="n"/>
      <c r="T17" s="532" t="n"/>
      <c r="U17" s="535" t="n"/>
    </row>
    <row r="18" ht="13.5" customHeight="1" s="354">
      <c r="A18" s="527" t="n"/>
      <c r="B18" s="528" t="n"/>
      <c r="C18" s="529" t="n"/>
      <c r="D18" s="530" t="inlineStr">
        <is>
          <t>none open</t>
        </is>
      </c>
      <c r="E18" s="534" t="n"/>
      <c r="F18" s="531" t="inlineStr">
        <is>
          <t>O</t>
        </is>
      </c>
      <c r="G18" s="531" t="inlineStr">
        <is>
          <t>O</t>
        </is>
      </c>
      <c r="H18" s="531" t="inlineStr">
        <is>
          <t>O</t>
        </is>
      </c>
      <c r="I18" s="531" t="inlineStr">
        <is>
          <t>O</t>
        </is>
      </c>
      <c r="J18" s="531" t="n"/>
      <c r="K18" s="531" t="inlineStr">
        <is>
          <t>O</t>
        </is>
      </c>
      <c r="L18" s="531" t="n"/>
      <c r="M18" s="531" t="n"/>
      <c r="N18" s="531" t="n"/>
      <c r="O18" s="531" t="n"/>
      <c r="P18" s="531" t="n"/>
      <c r="Q18" s="531" t="n"/>
      <c r="R18" s="531" t="n"/>
      <c r="S18" s="531" t="n"/>
      <c r="T18" s="532" t="n"/>
      <c r="U18" s="535" t="n"/>
    </row>
    <row r="19" ht="13.5" customHeight="1" s="354">
      <c r="A19" s="527" t="n"/>
      <c r="B19" s="528" t="n"/>
      <c r="C19" s="529" t="n"/>
      <c r="D19" s="530" t="inlineStr">
        <is>
          <t>open ticket exists</t>
        </is>
      </c>
      <c r="F19" s="531" t="n"/>
      <c r="G19" s="531" t="n"/>
      <c r="H19" s="531" t="n"/>
      <c r="I19" s="531" t="n"/>
      <c r="J19" s="531" t="inlineStr">
        <is>
          <t>O</t>
        </is>
      </c>
      <c r="K19" s="531" t="n"/>
      <c r="L19" s="531" t="n"/>
      <c r="M19" s="531" t="n"/>
      <c r="N19" s="531" t="n"/>
      <c r="O19" s="531" t="n"/>
      <c r="P19" s="531" t="n"/>
      <c r="Q19" s="531" t="n"/>
      <c r="R19" s="531" t="n"/>
      <c r="S19" s="531" t="n"/>
      <c r="T19" s="532" t="n"/>
    </row>
    <row r="20" ht="13.5" customHeight="1" s="354">
      <c r="A20" s="527" t="n"/>
      <c r="B20" s="528" t="n"/>
      <c r="C20" s="529" t="n"/>
      <c r="D20" s="530" t="inlineStr">
        <is>
          <t>requested</t>
        </is>
      </c>
      <c r="E20" s="534" t="n"/>
      <c r="F20" s="531" t="n"/>
      <c r="G20" s="531" t="n"/>
      <c r="H20" s="531" t="n"/>
      <c r="I20" s="531" t="n"/>
      <c r="J20" s="531" t="n"/>
      <c r="K20" s="531" t="n"/>
      <c r="L20" s="531" t="inlineStr">
        <is>
          <t>O</t>
        </is>
      </c>
      <c r="M20" s="531" t="inlineStr">
        <is>
          <t>O</t>
        </is>
      </c>
      <c r="N20" s="531" t="inlineStr">
        <is>
          <t>O</t>
        </is>
      </c>
      <c r="O20" s="531" t="inlineStr">
        <is>
          <t>O</t>
        </is>
      </c>
      <c r="P20" s="531" t="inlineStr">
        <is>
          <t>O</t>
        </is>
      </c>
      <c r="Q20" s="531" t="n"/>
      <c r="R20" s="531" t="n"/>
      <c r="S20" s="531" t="n"/>
      <c r="T20" s="532" t="n"/>
    </row>
    <row r="21" ht="13.5" customHeight="1" s="354">
      <c r="A21" s="527" t="n"/>
      <c r="B21" s="528" t="n"/>
      <c r="C21" s="529" t="n"/>
      <c r="D21" s="530" t="inlineStr">
        <is>
          <t>approved (awaiting receipt)</t>
        </is>
      </c>
      <c r="E21" s="534" t="n"/>
      <c r="F21" s="531" t="n"/>
      <c r="G21" s="531" t="n"/>
      <c r="H21" s="531" t="n"/>
      <c r="I21" s="531" t="n"/>
      <c r="J21" s="531" t="n"/>
      <c r="K21" s="531" t="n"/>
      <c r="L21" s="531" t="n"/>
      <c r="M21" s="531" t="n"/>
      <c r="N21" s="531" t="n"/>
      <c r="O21" s="531" t="n"/>
      <c r="P21" s="531" t="n"/>
      <c r="Q21" s="531" t="inlineStr">
        <is>
          <t>O</t>
        </is>
      </c>
      <c r="R21" s="531" t="n"/>
      <c r="S21" s="531" t="n"/>
      <c r="T21" s="532" t="n"/>
    </row>
    <row r="22" ht="13.5" customHeight="1" s="354">
      <c r="A22" s="527" t="n"/>
      <c r="B22" s="528" t="inlineStr">
        <is>
          <t>Items</t>
        </is>
      </c>
      <c r="C22" s="529" t="n"/>
      <c r="D22" s="530" t="n"/>
      <c r="E22" s="534" t="n"/>
      <c r="F22" s="531" t="n"/>
      <c r="G22" s="531" t="n"/>
      <c r="H22" s="531" t="n"/>
      <c r="I22" s="531" t="n"/>
      <c r="J22" s="531" t="n"/>
      <c r="K22" s="531" t="n"/>
      <c r="L22" s="531" t="n"/>
      <c r="M22" s="531" t="n"/>
      <c r="N22" s="531" t="n"/>
      <c r="O22" s="531" t="n"/>
      <c r="P22" s="531" t="n"/>
      <c r="Q22" s="531" t="n"/>
      <c r="R22" s="531" t="n"/>
      <c r="S22" s="531" t="n"/>
      <c r="T22" s="532" t="n"/>
    </row>
    <row r="23" ht="13.5" customHeight="1" s="354">
      <c r="A23" s="527" t="n"/>
      <c r="B23" s="528" t="n"/>
      <c r="C23" s="529" t="n"/>
      <c r="D23" s="530" t="inlineStr">
        <is>
          <t>valid</t>
        </is>
      </c>
      <c r="E23" s="534" t="n"/>
      <c r="F23" s="531" t="inlineStr">
        <is>
          <t>O</t>
        </is>
      </c>
      <c r="G23" s="531" t="inlineStr">
        <is>
          <t>O</t>
        </is>
      </c>
      <c r="H23" s="531" t="inlineStr">
        <is>
          <t>O</t>
        </is>
      </c>
      <c r="I23" s="531" t="n"/>
      <c r="J23" s="531" t="inlineStr">
        <is>
          <t>O</t>
        </is>
      </c>
      <c r="K23" s="531" t="inlineStr">
        <is>
          <t>O</t>
        </is>
      </c>
      <c r="L23" s="531" t="n"/>
      <c r="M23" s="531" t="n"/>
      <c r="N23" s="531" t="n"/>
      <c r="O23" s="531" t="n"/>
      <c r="P23" s="531" t="n"/>
      <c r="Q23" s="531" t="n"/>
      <c r="R23" s="531" t="n"/>
      <c r="S23" s="531" t="n"/>
      <c r="T23" s="532" t="n"/>
    </row>
    <row r="24" ht="13.5" customHeight="1" s="354">
      <c r="A24" s="527" t="n"/>
      <c r="B24" s="528" t="n"/>
      <c r="C24" s="529" t="n"/>
      <c r="D24" s="530" t="inlineStr">
        <is>
          <t>more than bought / unknown SKU</t>
        </is>
      </c>
      <c r="E24" s="534" t="n"/>
      <c r="F24" s="531" t="n"/>
      <c r="G24" s="531" t="n"/>
      <c r="H24" s="531" t="n"/>
      <c r="I24" s="531" t="inlineStr">
        <is>
          <t>O</t>
        </is>
      </c>
      <c r="J24" s="531" t="n"/>
      <c r="K24" s="531" t="n"/>
      <c r="L24" s="531" t="n"/>
      <c r="M24" s="531" t="n"/>
      <c r="N24" s="531" t="n"/>
      <c r="O24" s="531" t="n"/>
      <c r="P24" s="531" t="n"/>
      <c r="Q24" s="531" t="n"/>
      <c r="R24" s="531" t="n"/>
      <c r="S24" s="531" t="n"/>
      <c r="T24" s="532" t="n"/>
    </row>
    <row r="25" ht="13.5" customHeight="1" s="354">
      <c r="A25" s="527" t="n"/>
      <c r="B25" s="528" t="n"/>
      <c r="C25" s="529" t="n"/>
      <c r="D25" s="530" t="inlineStr">
        <is>
          <t>inspected fewer than returned</t>
        </is>
      </c>
      <c r="E25" s="534" t="n"/>
      <c r="F25" s="531" t="n"/>
      <c r="G25" s="531" t="n"/>
      <c r="H25" s="531" t="n"/>
      <c r="I25" s="531" t="n"/>
      <c r="J25" s="531" t="n"/>
      <c r="K25" s="531" t="n"/>
      <c r="L25" s="531" t="n"/>
      <c r="M25" s="531" t="n"/>
      <c r="N25" s="531" t="n"/>
      <c r="O25" s="531" t="n"/>
      <c r="P25" s="531" t="n"/>
      <c r="Q25" s="531" t="inlineStr">
        <is>
          <t>O</t>
        </is>
      </c>
      <c r="R25" s="531" t="n"/>
      <c r="S25" s="531" t="n"/>
      <c r="T25" s="532" t="n"/>
    </row>
    <row r="26" ht="13.5" customHeight="1" s="354">
      <c r="A26" s="527" t="n"/>
      <c r="B26" s="528" t="inlineStr">
        <is>
          <t>Actor</t>
        </is>
      </c>
      <c r="C26" s="529" t="n"/>
      <c r="D26" s="530" t="n"/>
      <c r="E26" s="534" t="n"/>
      <c r="F26" s="531" t="n"/>
      <c r="G26" s="531" t="n"/>
      <c r="H26" s="531" t="n"/>
      <c r="I26" s="531" t="n"/>
      <c r="J26" s="531" t="n"/>
      <c r="K26" s="531" t="n"/>
      <c r="L26" s="531" t="n"/>
      <c r="M26" s="531" t="n"/>
      <c r="N26" s="531" t="n"/>
      <c r="O26" s="531" t="n"/>
      <c r="P26" s="531" t="n"/>
      <c r="Q26" s="531" t="n"/>
      <c r="R26" s="531" t="n"/>
      <c r="S26" s="531" t="n"/>
      <c r="T26" s="532" t="n"/>
    </row>
    <row r="27" ht="13.5" customHeight="1" s="354">
      <c r="A27" s="527" t="n"/>
      <c r="B27" s="528" t="n"/>
      <c r="C27" s="529" t="n"/>
      <c r="D27" s="530" t="inlineStr">
        <is>
          <t>creator</t>
        </is>
      </c>
      <c r="E27" s="534" t="n"/>
      <c r="F27" s="531" t="n"/>
      <c r="G27" s="531" t="n"/>
      <c r="H27" s="531" t="n"/>
      <c r="I27" s="531" t="n"/>
      <c r="J27" s="531" t="n"/>
      <c r="K27" s="531" t="n"/>
      <c r="L27" s="531" t="inlineStr">
        <is>
          <t>O</t>
        </is>
      </c>
      <c r="M27" s="531" t="n"/>
      <c r="N27" s="531" t="n"/>
      <c r="O27" s="531" t="n"/>
      <c r="P27" s="531" t="n"/>
      <c r="Q27" s="531" t="n"/>
      <c r="R27" s="531" t="n"/>
      <c r="S27" s="531" t="n"/>
      <c r="T27" s="532" t="n"/>
    </row>
    <row r="28" ht="13.5" customHeight="1" s="354">
      <c r="A28" s="527" t="n"/>
      <c r="B28" s="528" t="n"/>
      <c r="C28" s="529" t="n"/>
      <c r="D28" s="530" t="inlineStr">
        <is>
          <t>other user</t>
        </is>
      </c>
      <c r="E28" s="534" t="n"/>
      <c r="F28" s="531" t="n"/>
      <c r="G28" s="531" t="n"/>
      <c r="H28" s="531" t="n"/>
      <c r="I28" s="531" t="n"/>
      <c r="J28" s="531" t="n"/>
      <c r="K28" s="531" t="n"/>
      <c r="L28" s="531" t="n"/>
      <c r="M28" s="531" t="inlineStr">
        <is>
          <t>O</t>
        </is>
      </c>
      <c r="N28" s="531" t="inlineStr">
        <is>
          <t>O</t>
        </is>
      </c>
      <c r="O28" s="531" t="inlineStr">
        <is>
          <t>O</t>
        </is>
      </c>
      <c r="P28" s="531" t="n"/>
      <c r="Q28" s="531" t="n"/>
      <c r="R28" s="531" t="n"/>
      <c r="S28" s="531" t="n"/>
      <c r="T28" s="532" t="n"/>
    </row>
    <row r="29" ht="13.5" customHeight="1" s="354">
      <c r="A29" s="527" t="n"/>
      <c r="B29" s="528" t="inlineStr">
        <is>
          <t>Note</t>
        </is>
      </c>
      <c r="C29" s="529" t="n"/>
      <c r="D29" s="530" t="n"/>
      <c r="E29" s="534" t="n"/>
      <c r="F29" s="531" t="n"/>
      <c r="G29" s="531" t="n"/>
      <c r="H29" s="531" t="n"/>
      <c r="I29" s="531" t="n"/>
      <c r="J29" s="531" t="n"/>
      <c r="K29" s="531" t="n"/>
      <c r="L29" s="531" t="n"/>
      <c r="M29" s="531" t="n"/>
      <c r="N29" s="531" t="n"/>
      <c r="O29" s="531" t="n"/>
      <c r="P29" s="531" t="n"/>
      <c r="Q29" s="531" t="n"/>
      <c r="R29" s="531" t="n"/>
      <c r="S29" s="531" t="n"/>
      <c r="T29" s="532" t="n"/>
    </row>
    <row r="30" ht="13.5" customHeight="1" s="354">
      <c r="A30" s="527" t="n"/>
      <c r="B30" s="572" t="n"/>
      <c r="C30" s="538" t="n"/>
      <c r="D30" s="530" t="inlineStr">
        <is>
          <t>given</t>
        </is>
      </c>
      <c r="E30" s="540" t="n"/>
      <c r="F30" s="531" t="n"/>
      <c r="G30" s="531" t="n"/>
      <c r="H30" s="531" t="n"/>
      <c r="I30" s="531" t="n"/>
      <c r="J30" s="531" t="n"/>
      <c r="K30" s="531" t="n"/>
      <c r="L30" s="531" t="n"/>
      <c r="M30" s="531" t="n"/>
      <c r="N30" s="531" t="n"/>
      <c r="O30" s="531" t="n"/>
      <c r="P30" s="531" t="n"/>
      <c r="Q30" s="531" t="n"/>
      <c r="R30" s="541" t="n"/>
      <c r="S30" s="541" t="n"/>
      <c r="T30" s="542" t="n"/>
    </row>
    <row r="31" ht="13.5" customHeight="1" s="354">
      <c r="A31" s="536" t="n"/>
      <c r="B31" s="537" t="n"/>
      <c r="C31" s="543" t="n"/>
      <c r="D31" s="530" t="inlineStr">
        <is>
          <t>missing</t>
        </is>
      </c>
      <c r="E31" s="545" t="n"/>
      <c r="F31" s="531" t="n"/>
      <c r="G31" s="531" t="n"/>
      <c r="H31" s="531" t="n"/>
      <c r="I31" s="531" t="n"/>
      <c r="J31" s="531" t="n"/>
      <c r="K31" s="531" t="n"/>
      <c r="L31" s="531" t="n"/>
      <c r="M31" s="531" t="n"/>
      <c r="N31" s="531" t="n"/>
      <c r="O31" s="531" t="inlineStr">
        <is>
          <t>O</t>
        </is>
      </c>
      <c r="P31" s="531" t="n"/>
      <c r="Q31" s="531" t="n"/>
      <c r="R31" s="525" t="n"/>
      <c r="S31" s="525" t="n"/>
      <c r="T31" s="526" t="n"/>
    </row>
    <row r="32" ht="13.5" customHeight="1" s="354">
      <c r="A32" s="546" t="n"/>
      <c r="B32" s="528" t="inlineStr">
        <is>
          <t>Type</t>
        </is>
      </c>
      <c r="C32" s="548" t="n"/>
      <c r="D32" s="544" t="n"/>
      <c r="E32" s="549" t="n"/>
      <c r="F32" s="531" t="n"/>
      <c r="G32" s="531" t="n"/>
      <c r="H32" s="531" t="n"/>
      <c r="I32" s="531" t="n"/>
      <c r="J32" s="531" t="n"/>
      <c r="K32" s="531" t="n"/>
      <c r="L32" s="531" t="n"/>
      <c r="M32" s="531" t="n"/>
      <c r="N32" s="531" t="n"/>
      <c r="O32" s="531" t="n"/>
      <c r="P32" s="531" t="n"/>
      <c r="Q32" s="531" t="n"/>
      <c r="R32" s="531" t="n"/>
      <c r="S32" s="531" t="n"/>
      <c r="T32" s="532" t="n"/>
    </row>
    <row r="33" ht="13.5" customHeight="1" s="354">
      <c r="A33" s="546" t="n"/>
      <c r="B33" s="547" t="n"/>
      <c r="C33" s="550" t="n"/>
      <c r="D33" s="530" t="inlineStr">
        <is>
          <t>return &amp; refund</t>
        </is>
      </c>
      <c r="E33" s="551" t="n"/>
      <c r="F33" s="531" t="n"/>
      <c r="G33" s="531" t="n"/>
      <c r="H33" s="531" t="n"/>
      <c r="I33" s="531" t="n"/>
      <c r="J33" s="531" t="n"/>
      <c r="K33" s="531" t="n"/>
      <c r="L33" s="531" t="n"/>
      <c r="M33" s="531" t="n"/>
      <c r="N33" s="531" t="inlineStr">
        <is>
          <t>O</t>
        </is>
      </c>
      <c r="O33" s="531" t="n"/>
      <c r="P33" s="531" t="n"/>
      <c r="Q33" s="531" t="n"/>
      <c r="R33" s="531" t="n"/>
      <c r="S33" s="531" t="n"/>
      <c r="T33" s="532" t="n"/>
    </row>
    <row r="34" ht="13.5" customHeight="1" s="354">
      <c r="A34" s="546" t="n"/>
      <c r="B34" s="547" t="n"/>
      <c r="C34" s="550" t="n"/>
      <c r="D34" s="530" t="inlineStr">
        <is>
          <t>refund only</t>
        </is>
      </c>
      <c r="E34" s="551" t="n"/>
      <c r="F34" s="531" t="n"/>
      <c r="G34" s="531" t="n"/>
      <c r="H34" s="531" t="n"/>
      <c r="I34" s="531" t="n"/>
      <c r="J34" s="531" t="n"/>
      <c r="K34" s="531" t="n"/>
      <c r="L34" s="531" t="n"/>
      <c r="M34" s="531" t="inlineStr">
        <is>
          <t>O</t>
        </is>
      </c>
      <c r="N34" s="531" t="n"/>
      <c r="O34" s="531" t="n"/>
      <c r="P34" s="531" t="n"/>
      <c r="Q34" s="531" t="n"/>
      <c r="R34" s="531" t="n"/>
      <c r="S34" s="531" t="n"/>
      <c r="T34" s="532" t="n"/>
    </row>
    <row r="35" ht="13.5" customHeight="1" s="354">
      <c r="A35" s="536" t="inlineStr">
        <is>
          <t>Confirm</t>
        </is>
      </c>
      <c r="B35" s="537" t="inlineStr">
        <is>
          <t>Return</t>
        </is>
      </c>
      <c r="C35" s="550" t="n"/>
      <c r="D35" s="544" t="n"/>
      <c r="E35" s="551" t="n"/>
      <c r="F35" s="531" t="n"/>
      <c r="G35" s="531" t="n"/>
      <c r="H35" s="531" t="n"/>
      <c r="I35" s="531" t="n"/>
      <c r="J35" s="531" t="n"/>
      <c r="K35" s="531" t="n"/>
      <c r="L35" s="531" t="n"/>
      <c r="M35" s="531" t="n"/>
      <c r="N35" s="531" t="n"/>
      <c r="O35" s="531" t="n"/>
      <c r="P35" s="531" t="n"/>
      <c r="Q35" s="531" t="n"/>
      <c r="R35" s="531" t="n"/>
      <c r="S35" s="531" t="n"/>
      <c r="T35" s="532" t="n"/>
    </row>
    <row r="36" ht="13.5" customHeight="1" s="354">
      <c r="A36" s="546" t="n"/>
      <c r="B36" s="547" t="n"/>
      <c r="C36" s="550" t="n"/>
      <c r="D36" s="544" t="inlineStr">
        <is>
          <t>ticket "requested"</t>
        </is>
      </c>
      <c r="E36" s="551" t="n"/>
      <c r="F36" s="531" t="n"/>
      <c r="G36" s="531" t="n"/>
      <c r="H36" s="531" t="n"/>
      <c r="I36" s="531" t="n"/>
      <c r="J36" s="531" t="n"/>
      <c r="K36" s="531" t="inlineStr">
        <is>
          <t>O</t>
        </is>
      </c>
      <c r="L36" s="531" t="n"/>
      <c r="M36" s="531" t="n"/>
      <c r="N36" s="531" t="n"/>
      <c r="O36" s="531" t="n"/>
      <c r="P36" s="531" t="n"/>
      <c r="Q36" s="531" t="n"/>
      <c r="R36" s="531" t="n"/>
      <c r="S36" s="531" t="n"/>
      <c r="T36" s="532" t="n"/>
    </row>
    <row r="37" ht="13.5" customHeight="1" s="354">
      <c r="A37" s="546" t="n"/>
      <c r="B37" s="547" t="n"/>
      <c r="C37" s="550" t="n"/>
      <c r="D37" s="544" t="inlineStr">
        <is>
          <t>ticket closed</t>
        </is>
      </c>
      <c r="E37" s="551" t="n"/>
      <c r="F37" s="531" t="n"/>
      <c r="G37" s="531" t="n"/>
      <c r="H37" s="531" t="n"/>
      <c r="I37" s="531" t="n"/>
      <c r="J37" s="531" t="n"/>
      <c r="K37" s="531" t="n"/>
      <c r="L37" s="531" t="n"/>
      <c r="M37" s="531" t="inlineStr">
        <is>
          <t>O</t>
        </is>
      </c>
      <c r="N37" s="531" t="n"/>
      <c r="O37" s="531" t="n"/>
      <c r="P37" s="531" t="n"/>
      <c r="Q37" s="531" t="n"/>
      <c r="R37" s="531" t="n"/>
      <c r="S37" s="531" t="n"/>
      <c r="T37" s="532" t="n"/>
    </row>
    <row r="38" ht="13.5" customHeight="1" s="354">
      <c r="A38" s="546" t="n"/>
      <c r="B38" s="552" t="n"/>
      <c r="C38" s="553" t="n"/>
      <c r="D38" s="544" t="inlineStr">
        <is>
          <t>ticket awaiting_receipt</t>
        </is>
      </c>
      <c r="E38" s="554" t="n"/>
      <c r="F38" s="531" t="n"/>
      <c r="G38" s="531" t="n"/>
      <c r="H38" s="531" t="n"/>
      <c r="I38" s="531" t="n"/>
      <c r="J38" s="531" t="n"/>
      <c r="K38" s="531" t="n"/>
      <c r="L38" s="531" t="n"/>
      <c r="M38" s="531" t="n"/>
      <c r="N38" s="531" t="inlineStr">
        <is>
          <t>O</t>
        </is>
      </c>
      <c r="O38" s="531" t="n"/>
      <c r="P38" s="531" t="n"/>
      <c r="Q38" s="531" t="n"/>
      <c r="R38" s="555" t="n"/>
      <c r="S38" s="555" t="n"/>
      <c r="T38" s="556" t="n"/>
    </row>
    <row r="39" ht="13.5" customHeight="1" s="354">
      <c r="A39" s="536" t="n"/>
      <c r="B39" s="537" t="inlineStr">
        <is>
          <t>Exception</t>
        </is>
      </c>
      <c r="E39" s="557" t="n"/>
      <c r="F39" s="558" t="n"/>
      <c r="G39" s="558" t="n"/>
      <c r="H39" s="558" t="n"/>
      <c r="I39" s="558" t="n"/>
      <c r="J39" s="558" t="n"/>
      <c r="K39" s="558" t="n"/>
      <c r="L39" s="558" t="n"/>
      <c r="M39" s="558" t="n"/>
      <c r="N39" s="558" t="n"/>
      <c r="O39" s="558" t="n"/>
      <c r="P39" s="558" t="n"/>
      <c r="Q39" s="558" t="n"/>
      <c r="R39" s="558" t="n"/>
      <c r="S39" s="558" t="n"/>
      <c r="T39" s="559" t="n"/>
    </row>
    <row r="40" ht="13.5" customHeight="1" s="354">
      <c r="A40" s="546" t="n"/>
      <c r="B40" s="560" t="n"/>
      <c r="D40" s="544" t="inlineStr">
        <is>
          <t>409 RMA_MARKETPLACE_MANAGED</t>
        </is>
      </c>
      <c r="E40" s="561" t="n"/>
      <c r="F40" s="531" t="inlineStr">
        <is>
          <t>O</t>
        </is>
      </c>
      <c r="G40" s="531" t="n"/>
      <c r="H40" s="531" t="n"/>
      <c r="I40" s="531" t="n"/>
      <c r="J40" s="531" t="n"/>
      <c r="K40" s="531" t="n"/>
      <c r="L40" s="531" t="n"/>
      <c r="M40" s="531" t="n"/>
      <c r="N40" s="531" t="n"/>
      <c r="O40" s="531" t="n"/>
      <c r="P40" s="531" t="n"/>
      <c r="Q40" s="531" t="n"/>
      <c r="R40" s="562" t="n"/>
      <c r="S40" s="562" t="n"/>
      <c r="T40" s="563" t="n"/>
    </row>
    <row r="41" ht="13.5" customHeight="1" s="354">
      <c r="A41" s="546" t="n"/>
      <c r="B41" s="574" t="n"/>
      <c r="D41" s="544" t="inlineStr">
        <is>
          <t>409 RMA_ORDER_NOT_DELIVERED</t>
        </is>
      </c>
      <c r="E41" s="564" t="n"/>
      <c r="F41" s="531" t="n"/>
      <c r="G41" s="531" t="inlineStr">
        <is>
          <t>O</t>
        </is>
      </c>
      <c r="H41" s="531" t="n"/>
      <c r="I41" s="531" t="n"/>
      <c r="J41" s="531" t="n"/>
      <c r="K41" s="531" t="n"/>
      <c r="L41" s="531" t="n"/>
      <c r="M41" s="531" t="n"/>
      <c r="N41" s="531" t="n"/>
      <c r="O41" s="531" t="n"/>
      <c r="P41" s="531" t="n"/>
      <c r="Q41" s="531" t="n"/>
      <c r="R41" s="565" t="n"/>
      <c r="S41" s="565" t="n"/>
      <c r="T41" s="566" t="n"/>
    </row>
    <row r="42" ht="80" customHeight="1" s="354">
      <c r="A42" s="567" t="n"/>
      <c r="B42" s="576" t="n"/>
      <c r="D42" s="544" t="inlineStr">
        <is>
          <t>409 RMA_WINDOW_EXPIRED</t>
        </is>
      </c>
      <c r="E42" s="568" t="n"/>
      <c r="F42" s="531" t="n"/>
      <c r="G42" s="531" t="n"/>
      <c r="H42" s="531" t="inlineStr">
        <is>
          <t>O</t>
        </is>
      </c>
      <c r="I42" s="531" t="n"/>
      <c r="J42" s="531" t="n"/>
      <c r="K42" s="531" t="n"/>
      <c r="L42" s="531" t="n"/>
      <c r="M42" s="531" t="n"/>
      <c r="N42" s="531" t="n"/>
      <c r="O42" s="531" t="n"/>
      <c r="P42" s="531" t="n"/>
      <c r="Q42" s="531" t="n"/>
      <c r="R42" s="569" t="n"/>
      <c r="S42" s="569" t="n"/>
      <c r="T42" s="570" t="n"/>
    </row>
    <row r="43" ht="12" customHeight="1" s="354">
      <c r="A43" s="571" t="n"/>
      <c r="D43" s="544" t="inlineStr">
        <is>
          <t>400 RMA_INVALID_ITEMS</t>
        </is>
      </c>
      <c r="F43" s="531" t="n"/>
      <c r="G43" s="531" t="n"/>
      <c r="H43" s="531" t="n"/>
      <c r="I43" s="531" t="inlineStr">
        <is>
          <t>O</t>
        </is>
      </c>
      <c r="J43" s="531" t="n"/>
      <c r="K43" s="531" t="n"/>
      <c r="L43" s="531" t="n"/>
      <c r="M43" s="531" t="n"/>
      <c r="N43" s="531" t="n"/>
      <c r="O43" s="531" t="n"/>
      <c r="P43" s="531" t="n"/>
      <c r="Q43" s="531" t="n"/>
    </row>
    <row r="44">
      <c r="D44" s="544" t="inlineStr">
        <is>
          <t>409 RMA_OPEN_EXISTS</t>
        </is>
      </c>
      <c r="F44" s="531" t="n"/>
      <c r="G44" s="531" t="n"/>
      <c r="H44" s="531" t="n"/>
      <c r="I44" s="531" t="n"/>
      <c r="J44" s="531" t="inlineStr">
        <is>
          <t>O</t>
        </is>
      </c>
      <c r="K44" s="531" t="n"/>
      <c r="L44" s="531" t="n"/>
      <c r="M44" s="531" t="n"/>
      <c r="N44" s="531" t="n"/>
      <c r="O44" s="531" t="n"/>
      <c r="P44" s="531" t="n"/>
      <c r="Q44" s="531" t="n"/>
    </row>
    <row r="45">
      <c r="D45" s="544" t="inlineStr">
        <is>
          <t>403 RMA_SELF_APPROVAL</t>
        </is>
      </c>
      <c r="F45" s="531" t="n"/>
      <c r="G45" s="531" t="n"/>
      <c r="H45" s="531" t="n"/>
      <c r="I45" s="531" t="n"/>
      <c r="J45" s="531" t="n"/>
      <c r="K45" s="531" t="n"/>
      <c r="L45" s="531" t="inlineStr">
        <is>
          <t>O</t>
        </is>
      </c>
      <c r="M45" s="531" t="n"/>
      <c r="N45" s="531" t="n"/>
      <c r="O45" s="531" t="n"/>
      <c r="P45" s="531" t="n"/>
      <c r="Q45" s="531" t="n"/>
    </row>
    <row r="46">
      <c r="D46" s="544" t="inlineStr">
        <is>
          <t>400 RMA_NOTE_REQUIRED</t>
        </is>
      </c>
      <c r="F46" s="531" t="n"/>
      <c r="G46" s="531" t="n"/>
      <c r="H46" s="531" t="n"/>
      <c r="I46" s="531" t="n"/>
      <c r="J46" s="531" t="n"/>
      <c r="K46" s="531" t="n"/>
      <c r="L46" s="531" t="n"/>
      <c r="M46" s="531" t="n"/>
      <c r="N46" s="531" t="n"/>
      <c r="O46" s="531" t="inlineStr">
        <is>
          <t>O</t>
        </is>
      </c>
      <c r="P46" s="531" t="n"/>
      <c r="Q46" s="531" t="n"/>
    </row>
    <row r="47">
      <c r="D47" s="544" t="inlineStr">
        <is>
          <t>409 RMA_INVALID_STATUS</t>
        </is>
      </c>
      <c r="F47" s="531" t="n"/>
      <c r="G47" s="531" t="n"/>
      <c r="H47" s="531" t="n"/>
      <c r="I47" s="531" t="n"/>
      <c r="J47" s="531" t="n"/>
      <c r="K47" s="531" t="n"/>
      <c r="L47" s="531" t="n"/>
      <c r="M47" s="531" t="n"/>
      <c r="N47" s="531" t="n"/>
      <c r="O47" s="531" t="n"/>
      <c r="P47" s="531" t="inlineStr">
        <is>
          <t>O</t>
        </is>
      </c>
      <c r="Q47" s="531" t="n"/>
    </row>
    <row r="48">
      <c r="D48" s="544" t="inlineStr">
        <is>
          <t>400 RMA_INSPECTION_MISMATCH</t>
        </is>
      </c>
      <c r="F48" s="531" t="n"/>
      <c r="G48" s="531" t="n"/>
      <c r="H48" s="531" t="n"/>
      <c r="I48" s="531" t="n"/>
      <c r="J48" s="531" t="n"/>
      <c r="K48" s="531" t="n"/>
      <c r="L48" s="531" t="n"/>
      <c r="M48" s="531" t="n"/>
      <c r="N48" s="531" t="n"/>
      <c r="O48" s="531" t="n"/>
      <c r="P48" s="531" t="n"/>
      <c r="Q48" s="531" t="inlineStr">
        <is>
          <t>O</t>
        </is>
      </c>
    </row>
    <row r="49">
      <c r="B49" s="537" t="inlineStr">
        <is>
          <t>Log message</t>
        </is>
      </c>
    </row>
    <row r="50">
      <c r="D50" s="544" t="inlineStr">
        <is>
          <t>Test name in returns.service.spec.ts (line)</t>
        </is>
      </c>
      <c r="F50" s="531" t="inlineStr">
        <is>
          <t>line 62</t>
        </is>
      </c>
      <c r="G50" s="531" t="inlineStr">
        <is>
          <t>line 68</t>
        </is>
      </c>
      <c r="H50" s="531" t="inlineStr">
        <is>
          <t>line 73</t>
        </is>
      </c>
      <c r="I50" s="531" t="inlineStr">
        <is>
          <t>line 78</t>
        </is>
      </c>
      <c r="J50" s="531" t="inlineStr">
        <is>
          <t>line 101</t>
        </is>
      </c>
      <c r="K50" s="531" t="inlineStr">
        <is>
          <t>line 106</t>
        </is>
      </c>
      <c r="L50" s="531" t="inlineStr">
        <is>
          <t>line 113</t>
        </is>
      </c>
      <c r="M50" s="531" t="inlineStr">
        <is>
          <t>line 118</t>
        </is>
      </c>
      <c r="N50" s="531" t="inlineStr">
        <is>
          <t>line 118</t>
        </is>
      </c>
      <c r="O50" s="531" t="inlineStr">
        <is>
          <t>line 129</t>
        </is>
      </c>
      <c r="P50" s="531" t="inlineStr">
        <is>
          <t>line 134</t>
        </is>
      </c>
      <c r="Q50" s="531" t="inlineStr">
        <is>
          <t>line 157</t>
        </is>
      </c>
    </row>
    <row r="51">
      <c r="A51" s="536" t="inlineStr">
        <is>
          <t>Result</t>
        </is>
      </c>
      <c r="B51" s="557" t="inlineStr">
        <is>
          <t>Type(N : Normal, A : Abnormal, B : Boundary)</t>
        </is>
      </c>
      <c r="F51" s="558" t="inlineStr">
        <is>
          <t>A</t>
        </is>
      </c>
      <c r="G51" s="558" t="inlineStr">
        <is>
          <t>A</t>
        </is>
      </c>
      <c r="H51" s="558" t="inlineStr">
        <is>
          <t>B</t>
        </is>
      </c>
      <c r="I51" s="558" t="inlineStr">
        <is>
          <t>A</t>
        </is>
      </c>
      <c r="J51" s="558" t="inlineStr">
        <is>
          <t>A</t>
        </is>
      </c>
      <c r="K51" s="558" t="inlineStr">
        <is>
          <t>N</t>
        </is>
      </c>
      <c r="L51" s="558" t="inlineStr">
        <is>
          <t>A</t>
        </is>
      </c>
      <c r="M51" s="558" t="inlineStr">
        <is>
          <t>N</t>
        </is>
      </c>
      <c r="N51" s="558" t="inlineStr">
        <is>
          <t>N</t>
        </is>
      </c>
      <c r="O51" s="558" t="inlineStr">
        <is>
          <t>A</t>
        </is>
      </c>
      <c r="P51" s="558" t="inlineStr">
        <is>
          <t>A</t>
        </is>
      </c>
      <c r="Q51" s="558" t="inlineStr">
        <is>
          <t>A</t>
        </is>
      </c>
    </row>
    <row r="52">
      <c r="B52" s="557" t="inlineStr">
        <is>
          <t>Passed/Failed</t>
        </is>
      </c>
      <c r="F52" s="562" t="inlineStr">
        <is>
          <t>P</t>
        </is>
      </c>
      <c r="G52" s="562" t="inlineStr">
        <is>
          <t>P</t>
        </is>
      </c>
      <c r="H52" s="562" t="inlineStr">
        <is>
          <t>P</t>
        </is>
      </c>
      <c r="I52" s="562" t="inlineStr">
        <is>
          <t>P</t>
        </is>
      </c>
      <c r="J52" s="562" t="inlineStr">
        <is>
          <t>P</t>
        </is>
      </c>
      <c r="K52" s="562" t="inlineStr">
        <is>
          <t>P</t>
        </is>
      </c>
      <c r="L52" s="562" t="inlineStr">
        <is>
          <t>P</t>
        </is>
      </c>
      <c r="M52" s="562" t="inlineStr">
        <is>
          <t>P</t>
        </is>
      </c>
      <c r="N52" s="562" t="inlineStr">
        <is>
          <t>P</t>
        </is>
      </c>
      <c r="O52" s="562" t="inlineStr">
        <is>
          <t>P</t>
        </is>
      </c>
      <c r="P52" s="562" t="inlineStr">
        <is>
          <t>P</t>
        </is>
      </c>
      <c r="Q52" s="562" t="inlineStr">
        <is>
          <t>P</t>
        </is>
      </c>
    </row>
    <row r="53">
      <c r="B53" s="557" t="inlineStr">
        <is>
          <t>Executed Date</t>
        </is>
      </c>
      <c r="F53" s="531" t="inlineStr">
        <is>
          <t>25/10/2026</t>
        </is>
      </c>
      <c r="G53" s="531" t="inlineStr">
        <is>
          <t>25/10/2026</t>
        </is>
      </c>
      <c r="H53" s="531" t="inlineStr">
        <is>
          <t>25/10/2026</t>
        </is>
      </c>
      <c r="I53" s="531" t="inlineStr">
        <is>
          <t>25/10/2026</t>
        </is>
      </c>
      <c r="J53" s="531" t="inlineStr">
        <is>
          <t>25/10/2026</t>
        </is>
      </c>
      <c r="K53" s="531" t="inlineStr">
        <is>
          <t>25/10/2026</t>
        </is>
      </c>
      <c r="L53" s="531" t="inlineStr">
        <is>
          <t>25/10/2026</t>
        </is>
      </c>
      <c r="M53" s="531" t="inlineStr">
        <is>
          <t>25/10/2026</t>
        </is>
      </c>
      <c r="N53" s="531" t="inlineStr">
        <is>
          <t>25/10/2026</t>
        </is>
      </c>
      <c r="O53" s="531" t="inlineStr">
        <is>
          <t>25/10/2026</t>
        </is>
      </c>
      <c r="P53" s="531" t="inlineStr">
        <is>
          <t>25/10/2026</t>
        </is>
      </c>
      <c r="Q53" s="531" t="inlineStr">
        <is>
          <t>25/10/2026</t>
        </is>
      </c>
    </row>
  </sheetData>
  <mergeCells count="23">
    <mergeCell ref="F2:K2"/>
    <mergeCell ref="A6:B6"/>
    <mergeCell ref="C4:D4"/>
    <mergeCell ref="C2:E2"/>
    <mergeCell ref="L4:T4"/>
    <mergeCell ref="A7:B7"/>
    <mergeCell ref="C7:E7"/>
    <mergeCell ref="L6:N6"/>
    <mergeCell ref="A3:B3"/>
    <mergeCell ref="A2:B2"/>
    <mergeCell ref="A5:B5"/>
    <mergeCell ref="C3:E3"/>
    <mergeCell ref="O7:T7"/>
    <mergeCell ref="F4:K4"/>
    <mergeCell ref="C6:E6"/>
    <mergeCell ref="A4:B4"/>
    <mergeCell ref="L2:T2"/>
    <mergeCell ref="O6:T6"/>
    <mergeCell ref="F6:K6"/>
    <mergeCell ref="C5:T5"/>
    <mergeCell ref="F7:K7"/>
    <mergeCell ref="L3:N3"/>
    <mergeCell ref="F3:K3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W43"/>
  <sheetViews>
    <sheetView workbookViewId="0">
      <selection activeCell="A1" sqref="A1"/>
    </sheetView>
  </sheetViews>
  <sheetFormatPr baseColWidth="8" defaultColWidth="8.99609375" defaultRowHeight="13.5" zeroHeight="0" outlineLevelRow="0"/>
  <cols>
    <col width="8.16" customWidth="1" style="474" min="1" max="1"/>
    <col width="13.32" customWidth="1" style="475" min="2" max="2"/>
    <col width="10.82" customWidth="1" style="474" min="3" max="3"/>
    <col width="34" customWidth="1" style="476" min="4" max="4"/>
    <col hidden="1" width="1.82" customWidth="1" style="474" min="5" max="5"/>
    <col width="10" customWidth="1" style="474" min="6" max="21"/>
    <col width="10" customWidth="1" style="354" min="7" max="7"/>
    <col width="10" customWidth="1" style="354" min="8" max="8"/>
    <col width="10" customWidth="1" style="354" min="9" max="9"/>
    <col width="10" customWidth="1" style="354" min="10" max="10"/>
    <col width="10" customWidth="1" style="354" min="11" max="11"/>
    <col width="10" customWidth="1" style="354" min="12" max="12"/>
    <col width="10" customWidth="1" style="354" min="13" max="13"/>
    <col width="10" customWidth="1" style="354" min="14" max="14"/>
    <col width="10" customWidth="1" style="354" min="15" max="15"/>
    <col width="8.99" customWidth="1" style="474" min="22" max="257"/>
  </cols>
  <sheetData>
    <row r="1" ht="13.5" customHeight="1" s="354">
      <c r="A1" s="477" t="n"/>
      <c r="B1" s="478" t="n"/>
    </row>
    <row r="2" ht="13.5" customHeight="1" s="354">
      <c r="A2" s="479" t="inlineStr">
        <is>
          <t>Function Code</t>
        </is>
      </c>
      <c r="B2" s="480" t="n"/>
      <c r="C2" s="481" t="inlineStr">
        <is>
          <t>UT-SOLVER</t>
        </is>
      </c>
      <c r="D2" s="480" t="n"/>
      <c r="E2" s="482" t="n"/>
      <c r="F2" s="483" t="inlineStr">
        <is>
          <t>Function Name</t>
        </is>
      </c>
      <c r="G2" s="484" t="n"/>
      <c r="H2" s="484" t="n"/>
      <c r="I2" s="484" t="n"/>
      <c r="J2" s="484" t="n"/>
      <c r="K2" s="484" t="n"/>
      <c r="L2" s="485" t="inlineStr">
        <is>
          <t>solve-order (BRKGA + EMS).solveOrder</t>
        </is>
      </c>
      <c r="M2" s="480" t="n"/>
      <c r="N2" s="480" t="n"/>
      <c r="O2" s="480" t="n"/>
      <c r="P2" s="480" t="n"/>
      <c r="Q2" s="480" t="n"/>
      <c r="R2" s="480" t="n"/>
      <c r="S2" s="480" t="n"/>
      <c r="T2" s="486" t="n"/>
      <c r="V2" s="487" t="n"/>
    </row>
    <row r="3" ht="13.5" customHeight="1" s="354">
      <c r="A3" s="488" t="inlineStr">
        <is>
          <t>Created By</t>
        </is>
      </c>
      <c r="B3" s="369" t="n"/>
      <c r="C3" s="489" t="inlineStr">
        <is>
          <t>Thi</t>
        </is>
      </c>
      <c r="D3" s="490" t="n"/>
      <c r="E3" s="491" t="n"/>
      <c r="F3" s="492" t="inlineStr">
        <is>
          <t>Executed By</t>
        </is>
      </c>
      <c r="G3" s="368" t="n"/>
      <c r="H3" s="368" t="n"/>
      <c r="I3" s="368" t="n"/>
      <c r="J3" s="368" t="n"/>
      <c r="K3" s="369" t="n"/>
      <c r="L3" s="493" t="inlineStr">
        <is>
          <t>GitHub Actions CI (run #258, commit 1a3101c)</t>
        </is>
      </c>
      <c r="M3" s="490" t="n"/>
      <c r="N3" s="490" t="n"/>
      <c r="O3" s="494" t="n"/>
      <c r="P3" s="494" t="n"/>
      <c r="Q3" s="494" t="n"/>
      <c r="R3" s="494" t="n"/>
      <c r="S3" s="494" t="n"/>
      <c r="T3" s="495" t="n"/>
    </row>
    <row r="4" ht="13.5" customHeight="1" s="354">
      <c r="A4" s="488" t="inlineStr">
        <is>
          <t>Lines  of code</t>
        </is>
      </c>
      <c r="B4" s="369" t="n"/>
      <c r="C4" s="496" t="n">
        <v>590</v>
      </c>
      <c r="D4" s="368" t="n"/>
      <c r="E4" s="497" t="n"/>
      <c r="F4" s="492" t="inlineStr">
        <is>
          <t>Lack of test cases</t>
        </is>
      </c>
      <c r="G4" s="368" t="n"/>
      <c r="H4" s="368" t="n"/>
      <c r="I4" s="368" t="n"/>
      <c r="J4" s="368" t="n"/>
      <c r="K4" s="369" t="n"/>
      <c r="L4" s="498">
        <f>IF(Functions!E6&lt;&gt;"N/A",SUM(C4*Functions!E6/1000,-O7),"N/A")</f>
        <v/>
      </c>
      <c r="M4" s="368" t="n"/>
      <c r="N4" s="368" t="n"/>
      <c r="O4" s="368" t="n"/>
      <c r="P4" s="368" t="n"/>
      <c r="Q4" s="368" t="n"/>
      <c r="R4" s="368" t="n"/>
      <c r="S4" s="368" t="n"/>
      <c r="T4" s="499" t="n"/>
      <c r="V4" s="487" t="n"/>
    </row>
    <row r="5" ht="13.5" customHeight="1" s="354">
      <c r="A5" s="488" t="inlineStr">
        <is>
          <t>Test requirement</t>
        </is>
      </c>
      <c r="B5" s="369" t="n"/>
      <c r="C5" s="500" t="inlineStr">
        <is>
          <t>3D packing plan per order: valid placement, determinism, fragile items, folding, box stock and exclusions – SRS 3.6.1, BR-06, BR-15. Test file: be/src/modules/packing/solver/solver.spec.ts; source: be/src/modules/packing/solver/solve-order.ts</t>
        </is>
      </c>
      <c r="D5" s="368" t="n"/>
      <c r="E5" s="368" t="n"/>
      <c r="F5" s="368" t="n"/>
      <c r="G5" s="368" t="n"/>
      <c r="H5" s="368" t="n"/>
      <c r="I5" s="368" t="n"/>
      <c r="J5" s="368" t="n"/>
      <c r="K5" s="368" t="n"/>
      <c r="L5" s="368" t="n"/>
      <c r="M5" s="368" t="n"/>
      <c r="N5" s="368" t="n"/>
      <c r="O5" s="368" t="n"/>
      <c r="P5" s="368" t="n"/>
      <c r="Q5" s="368" t="n"/>
      <c r="R5" s="368" t="n"/>
      <c r="S5" s="368" t="n"/>
      <c r="T5" s="499" t="n"/>
    </row>
    <row r="6" ht="13.5" customHeight="1" s="354">
      <c r="A6" s="501" t="inlineStr">
        <is>
          <t>Passed</t>
        </is>
      </c>
      <c r="B6" s="369" t="n"/>
      <c r="C6" s="502" t="inlineStr">
        <is>
          <t>Failed</t>
        </is>
      </c>
      <c r="D6" s="368" t="n"/>
      <c r="E6" s="369" t="n"/>
      <c r="F6" s="502" t="inlineStr">
        <is>
          <t>Untested</t>
        </is>
      </c>
      <c r="G6" s="368" t="n"/>
      <c r="H6" s="368" t="n"/>
      <c r="I6" s="368" t="n"/>
      <c r="J6" s="368" t="n"/>
      <c r="K6" s="369" t="n"/>
      <c r="L6" s="503" t="inlineStr">
        <is>
          <t>N/A/B</t>
        </is>
      </c>
      <c r="M6" s="368" t="n"/>
      <c r="N6" s="368" t="n"/>
      <c r="O6" s="504" t="inlineStr">
        <is>
          <t>Total Test Cases</t>
        </is>
      </c>
      <c r="P6" s="368" t="n"/>
      <c r="Q6" s="368" t="n"/>
      <c r="R6" s="368" t="n"/>
      <c r="S6" s="368" t="n"/>
      <c r="T6" s="499" t="n"/>
      <c r="V6" s="487" t="n"/>
    </row>
    <row r="7" ht="13.5" customHeight="1" s="354">
      <c r="A7" s="505">
        <f>COUNTIF(F42:O42,"P")</f>
        <v/>
      </c>
      <c r="B7" s="506" t="n"/>
      <c r="C7" s="507">
        <f>COUNTIF(F42:O42,"F")</f>
        <v/>
      </c>
      <c r="D7" s="508" t="n"/>
      <c r="E7" s="506" t="n"/>
      <c r="F7" s="507">
        <f>SUM(O7,-A7,-C7)</f>
        <v/>
      </c>
      <c r="G7" s="508" t="n"/>
      <c r="H7" s="508" t="n"/>
      <c r="I7" s="508" t="n"/>
      <c r="J7" s="508" t="n"/>
      <c r="K7" s="506" t="n"/>
      <c r="L7" s="509">
        <f>COUNTIF(F41:O41,"N")</f>
        <v/>
      </c>
      <c r="M7" s="509">
        <f>COUNTIF(F41:O41,"A")</f>
        <v/>
      </c>
      <c r="N7" s="509">
        <f>COUNTIF(F41:O41,"B")</f>
        <v/>
      </c>
      <c r="O7" s="510">
        <f>COUNTA(F9:O9)</f>
        <v/>
      </c>
      <c r="P7" s="508" t="n"/>
      <c r="Q7" s="508" t="n"/>
      <c r="R7" s="508" t="n"/>
      <c r="S7" s="508" t="n"/>
      <c r="T7" s="511" t="n"/>
      <c r="U7" s="512" t="n"/>
    </row>
    <row r="8" ht="12" customHeight="1" s="354"/>
    <row r="9" ht="46.5" customHeight="1" s="354">
      <c r="A9" s="513" t="n"/>
      <c r="B9" s="514" t="n"/>
      <c r="C9" s="515" t="n"/>
      <c r="D9" s="516" t="n"/>
      <c r="E9" s="515" t="n"/>
      <c r="F9" s="517" t="inlineStr">
        <is>
          <t>UTCID01</t>
        </is>
      </c>
      <c r="G9" s="517" t="inlineStr">
        <is>
          <t>UTCID02</t>
        </is>
      </c>
      <c r="H9" s="517" t="inlineStr">
        <is>
          <t>UTCID03</t>
        </is>
      </c>
      <c r="I9" s="517" t="inlineStr">
        <is>
          <t>UTCID04</t>
        </is>
      </c>
      <c r="J9" s="517" t="inlineStr">
        <is>
          <t>UTCID05</t>
        </is>
      </c>
      <c r="K9" s="517" t="inlineStr">
        <is>
          <t>UTCID06</t>
        </is>
      </c>
      <c r="L9" s="517" t="inlineStr">
        <is>
          <t>UTCID07</t>
        </is>
      </c>
      <c r="M9" s="517" t="inlineStr">
        <is>
          <t>UTCID08</t>
        </is>
      </c>
      <c r="N9" s="517" t="inlineStr">
        <is>
          <t>UTCID09</t>
        </is>
      </c>
      <c r="O9" s="517" t="inlineStr">
        <is>
          <t>UTCID10</t>
        </is>
      </c>
      <c r="P9" s="517" t="n"/>
      <c r="Q9" s="517" t="n"/>
      <c r="R9" s="517" t="n"/>
      <c r="S9" s="517" t="n"/>
      <c r="T9" s="518" t="n"/>
      <c r="U9" s="519" t="n"/>
      <c r="V9" s="487" t="n"/>
      <c r="W9" s="474" t="n"/>
    </row>
    <row r="10" ht="13.5" customHeight="1" s="354">
      <c r="A10" s="520" t="inlineStr">
        <is>
          <t>Condition</t>
        </is>
      </c>
      <c r="B10" s="521" t="inlineStr">
        <is>
          <t>Precondition</t>
        </is>
      </c>
      <c r="C10" s="522" t="n"/>
      <c r="D10" s="523" t="n"/>
      <c r="E10" s="524" t="n"/>
      <c r="F10" s="525" t="n"/>
      <c r="G10" s="525" t="n"/>
      <c r="H10" s="525" t="n"/>
      <c r="I10" s="525" t="n"/>
      <c r="J10" s="525" t="n"/>
      <c r="K10" s="525" t="n"/>
      <c r="L10" s="525" t="n"/>
      <c r="M10" s="525" t="n"/>
      <c r="N10" s="525" t="n"/>
      <c r="O10" s="525" t="n"/>
      <c r="P10" s="525" t="n"/>
      <c r="Q10" s="525" t="n"/>
      <c r="R10" s="525" t="n"/>
      <c r="S10" s="525" t="n"/>
      <c r="T10" s="526" t="n"/>
    </row>
    <row r="11" ht="13.5" customHeight="1" s="354">
      <c r="A11" s="527" t="n"/>
      <c r="B11" s="528" t="n"/>
      <c r="C11" s="529" t="n"/>
      <c r="D11" s="530" t="inlineStr">
        <is>
          <t>Box catalog with stock (fixture)</t>
        </is>
      </c>
      <c r="E11" s="524" t="n"/>
      <c r="F11" s="531" t="inlineStr">
        <is>
          <t>O</t>
        </is>
      </c>
      <c r="G11" s="531" t="inlineStr">
        <is>
          <t>O</t>
        </is>
      </c>
      <c r="H11" s="531" t="inlineStr">
        <is>
          <t>O</t>
        </is>
      </c>
      <c r="I11" s="531" t="inlineStr">
        <is>
          <t>O</t>
        </is>
      </c>
      <c r="J11" s="531" t="inlineStr">
        <is>
          <t>O</t>
        </is>
      </c>
      <c r="K11" s="531" t="inlineStr">
        <is>
          <t>O</t>
        </is>
      </c>
      <c r="L11" s="531" t="inlineStr">
        <is>
          <t>O</t>
        </is>
      </c>
      <c r="M11" s="531" t="inlineStr">
        <is>
          <t>O</t>
        </is>
      </c>
      <c r="N11" s="531" t="inlineStr">
        <is>
          <t>O</t>
        </is>
      </c>
      <c r="O11" s="531" t="inlineStr">
        <is>
          <t>O</t>
        </is>
      </c>
      <c r="P11" s="531" t="n"/>
      <c r="Q11" s="531" t="n"/>
      <c r="R11" s="531" t="n"/>
      <c r="S11" s="531" t="n"/>
      <c r="T11" s="532" t="n"/>
      <c r="V11" s="487" t="n"/>
    </row>
    <row r="12" ht="13.5" customHeight="1" s="354">
      <c r="A12" s="527" t="n"/>
      <c r="B12" s="528" t="inlineStr">
        <is>
          <t>Order</t>
        </is>
      </c>
      <c r="C12" s="529" t="n"/>
      <c r="D12" s="530" t="n"/>
      <c r="E12" s="524" t="n"/>
      <c r="F12" s="531" t="n"/>
      <c r="G12" s="531" t="n"/>
      <c r="H12" s="531" t="n"/>
      <c r="I12" s="531" t="n"/>
      <c r="J12" s="531" t="n"/>
      <c r="K12" s="531" t="n"/>
      <c r="L12" s="531" t="n"/>
      <c r="M12" s="531" t="n"/>
      <c r="N12" s="531" t="n"/>
      <c r="O12" s="531" t="n"/>
      <c r="P12" s="531" t="n"/>
      <c r="Q12" s="531" t="n"/>
      <c r="R12" s="531" t="n"/>
      <c r="S12" s="531" t="n"/>
      <c r="T12" s="532" t="n"/>
    </row>
    <row r="13" ht="13.5" customHeight="1" s="354">
      <c r="A13" s="527" t="n"/>
      <c r="B13" s="528" t="n"/>
      <c r="C13" s="529" t="n"/>
      <c r="D13" s="530" t="inlineStr">
        <is>
          <t>random items (25 orders)</t>
        </is>
      </c>
      <c r="E13" s="533" t="n"/>
      <c r="F13" s="531" t="inlineStr">
        <is>
          <t>O</t>
        </is>
      </c>
      <c r="G13" s="531" t="n"/>
      <c r="H13" s="531" t="n"/>
      <c r="I13" s="531" t="n"/>
      <c r="J13" s="531" t="n"/>
      <c r="K13" s="531" t="n"/>
      <c r="L13" s="531" t="n"/>
      <c r="M13" s="531" t="n"/>
      <c r="N13" s="531" t="n"/>
      <c r="O13" s="531" t="n"/>
      <c r="P13" s="531" t="n"/>
      <c r="Q13" s="531" t="n"/>
      <c r="R13" s="531" t="n"/>
      <c r="S13" s="531" t="n"/>
      <c r="T13" s="532" t="n"/>
    </row>
    <row r="14" ht="13.5" customHeight="1" s="354">
      <c r="A14" s="527" t="n"/>
      <c r="B14" s="528" t="n"/>
      <c r="C14" s="529" t="n"/>
      <c r="D14" s="530" t="inlineStr">
        <is>
          <t>fixed small order</t>
        </is>
      </c>
      <c r="E14" s="534" t="n"/>
      <c r="F14" s="531" t="n"/>
      <c r="G14" s="531" t="inlineStr">
        <is>
          <t>O</t>
        </is>
      </c>
      <c r="H14" s="531" t="n"/>
      <c r="I14" s="531" t="n"/>
      <c r="J14" s="531" t="n"/>
      <c r="K14" s="531" t="n"/>
      <c r="L14" s="531" t="inlineStr">
        <is>
          <t>O</t>
        </is>
      </c>
      <c r="M14" s="531" t="inlineStr">
        <is>
          <t>O</t>
        </is>
      </c>
      <c r="N14" s="531" t="inlineStr">
        <is>
          <t>O</t>
        </is>
      </c>
      <c r="O14" s="531" t="n"/>
      <c r="P14" s="531" t="n"/>
      <c r="Q14" s="531" t="n"/>
      <c r="R14" s="531" t="n"/>
      <c r="S14" s="531" t="n"/>
      <c r="T14" s="532" t="n"/>
    </row>
    <row r="15" ht="13.5" customHeight="1" s="354">
      <c r="A15" s="527" t="n"/>
      <c r="B15" s="528" t="n"/>
      <c r="C15" s="529" t="n"/>
      <c r="D15" s="530" t="inlineStr">
        <is>
          <t>≤ 3 items</t>
        </is>
      </c>
      <c r="E15" s="534" t="n"/>
      <c r="F15" s="531" t="n"/>
      <c r="G15" s="531" t="n"/>
      <c r="H15" s="531" t="inlineStr">
        <is>
          <t>O</t>
        </is>
      </c>
      <c r="I15" s="531" t="n"/>
      <c r="J15" s="531" t="n"/>
      <c r="K15" s="531" t="n"/>
      <c r="L15" s="531" t="n"/>
      <c r="M15" s="531" t="n"/>
      <c r="N15" s="531" t="n"/>
      <c r="O15" s="531" t="n"/>
      <c r="P15" s="531" t="n"/>
      <c r="Q15" s="531" t="n"/>
      <c r="R15" s="531" t="n"/>
      <c r="S15" s="531" t="n"/>
      <c r="T15" s="532" t="n"/>
    </row>
    <row r="16" ht="13.5" customHeight="1" s="354">
      <c r="A16" s="527" t="n"/>
      <c r="B16" s="528" t="n"/>
      <c r="C16" s="529" t="n"/>
      <c r="D16" s="530" t="inlineStr">
        <is>
          <t>&gt; 3 items</t>
        </is>
      </c>
      <c r="E16" s="534" t="n"/>
      <c r="F16" s="531" t="n"/>
      <c r="G16" s="531" t="n"/>
      <c r="H16" s="531" t="n"/>
      <c r="I16" s="531" t="inlineStr">
        <is>
          <t>O</t>
        </is>
      </c>
      <c r="J16" s="531" t="n"/>
      <c r="K16" s="531" t="n"/>
      <c r="L16" s="531" t="n"/>
      <c r="M16" s="531" t="n"/>
      <c r="N16" s="531" t="n"/>
      <c r="O16" s="531" t="n"/>
      <c r="P16" s="531" t="n"/>
      <c r="Q16" s="531" t="n"/>
      <c r="R16" s="531" t="n"/>
      <c r="S16" s="531" t="n"/>
      <c r="T16" s="532" t="n"/>
    </row>
    <row r="17" ht="13.5" customHeight="1" s="354">
      <c r="A17" s="527" t="n"/>
      <c r="B17" s="528" t="n"/>
      <c r="C17" s="529" t="n"/>
      <c r="D17" s="530" t="inlineStr">
        <is>
          <t>fragile item</t>
        </is>
      </c>
      <c r="E17" s="534" t="n"/>
      <c r="F17" s="531" t="n"/>
      <c r="G17" s="531" t="n"/>
      <c r="H17" s="531" t="n"/>
      <c r="I17" s="531" t="n"/>
      <c r="J17" s="531" t="inlineStr">
        <is>
          <t>O</t>
        </is>
      </c>
      <c r="K17" s="531" t="n"/>
      <c r="L17" s="531" t="n"/>
      <c r="M17" s="531" t="n"/>
      <c r="N17" s="531" t="n"/>
      <c r="O17" s="531" t="n"/>
      <c r="P17" s="531" t="n"/>
      <c r="Q17" s="531" t="n"/>
      <c r="R17" s="531" t="n"/>
      <c r="S17" s="531" t="n"/>
      <c r="T17" s="532" t="n"/>
      <c r="U17" s="535" t="n"/>
    </row>
    <row r="18" ht="13.5" customHeight="1" s="354">
      <c r="A18" s="527" t="n"/>
      <c r="B18" s="528" t="n"/>
      <c r="C18" s="529" t="n"/>
      <c r="D18" s="530" t="inlineStr">
        <is>
          <t>jean 26 cm wide (box M 25 cm)</t>
        </is>
      </c>
      <c r="E18" s="534" t="n"/>
      <c r="F18" s="531" t="n"/>
      <c r="G18" s="531" t="n"/>
      <c r="H18" s="531" t="n"/>
      <c r="I18" s="531" t="n"/>
      <c r="J18" s="531" t="n"/>
      <c r="K18" s="531" t="inlineStr">
        <is>
          <t>O</t>
        </is>
      </c>
      <c r="L18" s="531" t="n"/>
      <c r="M18" s="531" t="n"/>
      <c r="N18" s="531" t="n"/>
      <c r="O18" s="531" t="n"/>
      <c r="P18" s="531" t="n"/>
      <c r="Q18" s="531" t="n"/>
      <c r="R18" s="531" t="n"/>
      <c r="S18" s="531" t="n"/>
      <c r="T18" s="532" t="n"/>
      <c r="U18" s="535" t="n"/>
    </row>
    <row r="19" ht="13.5" customHeight="1" s="354">
      <c r="A19" s="527" t="n"/>
      <c r="B19" s="528" t="n"/>
      <c r="C19" s="529" t="n"/>
      <c r="D19" s="530" t="inlineStr">
        <is>
          <t>oversize / overweight item</t>
        </is>
      </c>
      <c r="F19" s="531" t="n"/>
      <c r="G19" s="531" t="n"/>
      <c r="H19" s="531" t="n"/>
      <c r="I19" s="531" t="n"/>
      <c r="J19" s="531" t="n"/>
      <c r="K19" s="531" t="n"/>
      <c r="L19" s="531" t="n"/>
      <c r="M19" s="531" t="n"/>
      <c r="N19" s="531" t="n"/>
      <c r="O19" s="531" t="inlineStr">
        <is>
          <t>O</t>
        </is>
      </c>
      <c r="P19" s="531" t="n"/>
      <c r="Q19" s="531" t="n"/>
      <c r="R19" s="531" t="n"/>
      <c r="S19" s="531" t="n"/>
      <c r="T19" s="532" t="n"/>
    </row>
    <row r="20" ht="13.5" customHeight="1" s="354">
      <c r="A20" s="527" t="n"/>
      <c r="B20" s="528" t="inlineStr">
        <is>
          <t>Run</t>
        </is>
      </c>
      <c r="C20" s="529" t="n"/>
      <c r="D20" s="530" t="n"/>
      <c r="E20" s="534" t="n"/>
      <c r="F20" s="531" t="n"/>
      <c r="G20" s="531" t="n"/>
      <c r="H20" s="531" t="n"/>
      <c r="I20" s="531" t="n"/>
      <c r="J20" s="531" t="n"/>
      <c r="K20" s="531" t="n"/>
      <c r="L20" s="531" t="n"/>
      <c r="M20" s="531" t="n"/>
      <c r="N20" s="531" t="n"/>
      <c r="O20" s="531" t="n"/>
      <c r="P20" s="531" t="n"/>
      <c r="Q20" s="531" t="n"/>
      <c r="R20" s="531" t="n"/>
      <c r="S20" s="531" t="n"/>
      <c r="T20" s="532" t="n"/>
    </row>
    <row r="21" ht="13.5" customHeight="1" s="354">
      <c r="A21" s="527" t="n"/>
      <c r="B21" s="528" t="n"/>
      <c r="C21" s="529" t="n"/>
      <c r="D21" s="530" t="inlineStr">
        <is>
          <t>same input twice</t>
        </is>
      </c>
      <c r="E21" s="534" t="n"/>
      <c r="F21" s="531" t="n"/>
      <c r="G21" s="531" t="inlineStr">
        <is>
          <t>O</t>
        </is>
      </c>
      <c r="H21" s="531" t="n"/>
      <c r="I21" s="531" t="n"/>
      <c r="J21" s="531" t="n"/>
      <c r="K21" s="531" t="n"/>
      <c r="L21" s="531" t="n"/>
      <c r="M21" s="531" t="n"/>
      <c r="N21" s="531" t="n"/>
      <c r="O21" s="531" t="n"/>
      <c r="P21" s="531" t="n"/>
      <c r="Q21" s="531" t="n"/>
      <c r="R21" s="531" t="n"/>
      <c r="S21" s="531" t="n"/>
      <c r="T21" s="532" t="n"/>
    </row>
    <row r="22" ht="13.5" customHeight="1" s="354">
      <c r="A22" s="527" t="n"/>
      <c r="B22" s="528" t="inlineStr">
        <is>
          <t>Box stock</t>
        </is>
      </c>
      <c r="C22" s="529" t="n"/>
      <c r="D22" s="530" t="n"/>
      <c r="E22" s="534" t="n"/>
      <c r="F22" s="531" t="n"/>
      <c r="G22" s="531" t="n"/>
      <c r="H22" s="531" t="n"/>
      <c r="I22" s="531" t="n"/>
      <c r="J22" s="531" t="n"/>
      <c r="K22" s="531" t="n"/>
      <c r="L22" s="531" t="n"/>
      <c r="M22" s="531" t="n"/>
      <c r="N22" s="531" t="n"/>
      <c r="O22" s="531" t="n"/>
      <c r="P22" s="531" t="n"/>
      <c r="Q22" s="531" t="n"/>
      <c r="R22" s="531" t="n"/>
      <c r="S22" s="531" t="n"/>
      <c r="T22" s="532" t="n"/>
    </row>
    <row r="23" ht="13.5" customHeight="1" s="354">
      <c r="A23" s="527" t="n"/>
      <c r="B23" s="528" t="n"/>
      <c r="C23" s="529" t="n"/>
      <c r="D23" s="530" t="inlineStr">
        <is>
          <t>all in stock</t>
        </is>
      </c>
      <c r="E23" s="534" t="n"/>
      <c r="F23" s="531" t="inlineStr">
        <is>
          <t>O</t>
        </is>
      </c>
      <c r="G23" s="531" t="inlineStr">
        <is>
          <t>O</t>
        </is>
      </c>
      <c r="H23" s="531" t="inlineStr">
        <is>
          <t>O</t>
        </is>
      </c>
      <c r="I23" s="531" t="inlineStr">
        <is>
          <t>O</t>
        </is>
      </c>
      <c r="J23" s="531" t="inlineStr">
        <is>
          <t>O</t>
        </is>
      </c>
      <c r="K23" s="531" t="inlineStr">
        <is>
          <t>O</t>
        </is>
      </c>
      <c r="L23" s="531" t="n"/>
      <c r="M23" s="531" t="n"/>
      <c r="N23" s="531" t="n"/>
      <c r="O23" s="531" t="inlineStr">
        <is>
          <t>O</t>
        </is>
      </c>
      <c r="P23" s="531" t="n"/>
      <c r="Q23" s="531" t="n"/>
      <c r="R23" s="531" t="n"/>
      <c r="S23" s="531" t="n"/>
      <c r="T23" s="532" t="n"/>
    </row>
    <row r="24" ht="13.5" customHeight="1" s="354">
      <c r="A24" s="527" t="n"/>
      <c r="B24" s="528" t="n"/>
      <c r="C24" s="529" t="n"/>
      <c r="D24" s="530" t="inlineStr">
        <is>
          <t>best box out of stock</t>
        </is>
      </c>
      <c r="E24" s="534" t="n"/>
      <c r="F24" s="531" t="n"/>
      <c r="G24" s="531" t="n"/>
      <c r="H24" s="531" t="n"/>
      <c r="I24" s="531" t="n"/>
      <c r="J24" s="531" t="n"/>
      <c r="K24" s="531" t="n"/>
      <c r="L24" s="531" t="inlineStr">
        <is>
          <t>O</t>
        </is>
      </c>
      <c r="M24" s="531" t="n"/>
      <c r="N24" s="531" t="n"/>
      <c r="O24" s="531" t="n"/>
      <c r="P24" s="531" t="n"/>
      <c r="Q24" s="531" t="n"/>
      <c r="R24" s="531" t="n"/>
      <c r="S24" s="531" t="n"/>
      <c r="T24" s="532" t="n"/>
    </row>
    <row r="25" ht="13.5" customHeight="1" s="354">
      <c r="A25" s="527" t="n"/>
      <c r="B25" s="528" t="n"/>
      <c r="C25" s="529" t="n"/>
      <c r="D25" s="530" t="inlineStr">
        <is>
          <t>box excluded</t>
        </is>
      </c>
      <c r="E25" s="534" t="n"/>
      <c r="F25" s="531" t="n"/>
      <c r="G25" s="531" t="n"/>
      <c r="H25" s="531" t="n"/>
      <c r="I25" s="531" t="n"/>
      <c r="J25" s="531" t="n"/>
      <c r="K25" s="531" t="n"/>
      <c r="L25" s="531" t="n"/>
      <c r="M25" s="531" t="inlineStr">
        <is>
          <t>O</t>
        </is>
      </c>
      <c r="N25" s="531" t="n"/>
      <c r="O25" s="531" t="n"/>
      <c r="P25" s="531" t="n"/>
      <c r="Q25" s="531" t="n"/>
      <c r="R25" s="531" t="n"/>
      <c r="S25" s="531" t="n"/>
      <c r="T25" s="532" t="n"/>
    </row>
    <row r="26" ht="13.5" customHeight="1" s="354">
      <c r="A26" s="527" t="n"/>
      <c r="B26" s="528" t="n"/>
      <c r="C26" s="529" t="n"/>
      <c r="D26" s="530" t="inlineStr">
        <is>
          <t>all fitting boxes out of stock</t>
        </is>
      </c>
      <c r="E26" s="534" t="n"/>
      <c r="F26" s="531" t="n"/>
      <c r="G26" s="531" t="n"/>
      <c r="H26" s="531" t="n"/>
      <c r="I26" s="531" t="n"/>
      <c r="J26" s="531" t="n"/>
      <c r="K26" s="531" t="n"/>
      <c r="L26" s="531" t="n"/>
      <c r="M26" s="531" t="n"/>
      <c r="N26" s="531" t="inlineStr">
        <is>
          <t>O</t>
        </is>
      </c>
      <c r="O26" s="531" t="n"/>
      <c r="P26" s="531" t="n"/>
      <c r="Q26" s="531" t="n"/>
      <c r="R26" s="531" t="n"/>
      <c r="S26" s="531" t="n"/>
      <c r="T26" s="532" t="n"/>
    </row>
    <row r="27" ht="13.5" customHeight="1" s="354">
      <c r="A27" s="536" t="inlineStr">
        <is>
          <t>Confirm</t>
        </is>
      </c>
      <c r="B27" s="537" t="inlineStr">
        <is>
          <t>Return</t>
        </is>
      </c>
      <c r="C27" s="529" t="n"/>
      <c r="D27" s="530" t="n"/>
      <c r="E27" s="534" t="n"/>
      <c r="F27" s="531" t="n"/>
      <c r="G27" s="531" t="n"/>
      <c r="H27" s="531" t="n"/>
      <c r="I27" s="531" t="n"/>
      <c r="J27" s="531" t="n"/>
      <c r="K27" s="531" t="n"/>
      <c r="L27" s="531" t="n"/>
      <c r="M27" s="531" t="n"/>
      <c r="N27" s="531" t="n"/>
      <c r="O27" s="531" t="n"/>
      <c r="P27" s="531" t="n"/>
      <c r="Q27" s="531" t="n"/>
      <c r="R27" s="531" t="n"/>
      <c r="S27" s="531" t="n"/>
      <c r="T27" s="532" t="n"/>
    </row>
    <row r="28" ht="13.5" customHeight="1" s="354">
      <c r="A28" s="527" t="n"/>
      <c r="B28" s="528" t="n"/>
      <c r="C28" s="529" t="n"/>
      <c r="D28" s="544" t="inlineStr">
        <is>
          <t>plan passes validator</t>
        </is>
      </c>
      <c r="E28" s="534" t="n"/>
      <c r="F28" s="531" t="inlineStr">
        <is>
          <t>O</t>
        </is>
      </c>
      <c r="G28" s="531" t="n"/>
      <c r="H28" s="531" t="n"/>
      <c r="I28" s="531" t="n"/>
      <c r="J28" s="531" t="n"/>
      <c r="K28" s="531" t="n"/>
      <c r="L28" s="531" t="n"/>
      <c r="M28" s="531" t="n"/>
      <c r="N28" s="531" t="n"/>
      <c r="O28" s="531" t="n"/>
      <c r="P28" s="531" t="n"/>
      <c r="Q28" s="531" t="n"/>
      <c r="R28" s="531" t="n"/>
      <c r="S28" s="531" t="n"/>
      <c r="T28" s="532" t="n"/>
    </row>
    <row r="29" ht="13.5" customHeight="1" s="354">
      <c r="A29" s="527" t="n"/>
      <c r="B29" s="528" t="n"/>
      <c r="C29" s="529" t="n"/>
      <c r="D29" s="544" t="inlineStr">
        <is>
          <t>identical coordinates</t>
        </is>
      </c>
      <c r="E29" s="534" t="n"/>
      <c r="F29" s="531" t="n"/>
      <c r="G29" s="531" t="inlineStr">
        <is>
          <t>O</t>
        </is>
      </c>
      <c r="H29" s="531" t="n"/>
      <c r="I29" s="531" t="n"/>
      <c r="J29" s="531" t="n"/>
      <c r="K29" s="531" t="n"/>
      <c r="L29" s="531" t="n"/>
      <c r="M29" s="531" t="n"/>
      <c r="N29" s="531" t="n"/>
      <c r="O29" s="531" t="n"/>
      <c r="P29" s="531" t="n"/>
      <c r="Q29" s="531" t="n"/>
      <c r="R29" s="531" t="n"/>
      <c r="S29" s="531" t="n"/>
      <c r="T29" s="532" t="n"/>
    </row>
    <row r="30" ht="13.5" customHeight="1" s="354">
      <c r="A30" s="527" t="n"/>
      <c r="B30" s="572" t="n"/>
      <c r="C30" s="538" t="n"/>
      <c r="D30" s="544" t="inlineStr">
        <is>
          <t>exhaustive search</t>
        </is>
      </c>
      <c r="E30" s="540" t="n"/>
      <c r="F30" s="531" t="n"/>
      <c r="G30" s="531" t="n"/>
      <c r="H30" s="531" t="inlineStr">
        <is>
          <t>O</t>
        </is>
      </c>
      <c r="I30" s="531" t="n"/>
      <c r="J30" s="531" t="n"/>
      <c r="K30" s="531" t="n"/>
      <c r="L30" s="531" t="n"/>
      <c r="M30" s="531" t="n"/>
      <c r="N30" s="531" t="n"/>
      <c r="O30" s="531" t="n"/>
      <c r="P30" s="541" t="n"/>
      <c r="Q30" s="541" t="n"/>
      <c r="R30" s="541" t="n"/>
      <c r="S30" s="541" t="n"/>
      <c r="T30" s="542" t="n"/>
    </row>
    <row r="31" ht="13.5" customHeight="1" s="354">
      <c r="A31" s="536" t="n"/>
      <c r="B31" s="537" t="n"/>
      <c r="C31" s="543" t="n"/>
      <c r="D31" s="544" t="inlineStr">
        <is>
          <t>BRKGA</t>
        </is>
      </c>
      <c r="E31" s="545" t="n"/>
      <c r="F31" s="531" t="n"/>
      <c r="G31" s="531" t="n"/>
      <c r="H31" s="531" t="n"/>
      <c r="I31" s="531" t="inlineStr">
        <is>
          <t>O</t>
        </is>
      </c>
      <c r="J31" s="531" t="n"/>
      <c r="K31" s="531" t="n"/>
      <c r="L31" s="531" t="n"/>
      <c r="M31" s="531" t="n"/>
      <c r="N31" s="531" t="n"/>
      <c r="O31" s="531" t="n"/>
      <c r="P31" s="525" t="n"/>
      <c r="Q31" s="525" t="n"/>
      <c r="R31" s="525" t="n"/>
      <c r="S31" s="525" t="n"/>
      <c r="T31" s="526" t="n"/>
    </row>
    <row r="32" ht="13.5" customHeight="1" s="354">
      <c r="A32" s="546" t="n"/>
      <c r="B32" s="547" t="n"/>
      <c r="C32" s="548" t="n"/>
      <c r="D32" s="544" t="inlineStr">
        <is>
          <t>nothing on top of fragile item</t>
        </is>
      </c>
      <c r="E32" s="549" t="n"/>
      <c r="F32" s="531" t="n"/>
      <c r="G32" s="531" t="n"/>
      <c r="H32" s="531" t="n"/>
      <c r="I32" s="531" t="n"/>
      <c r="J32" s="531" t="inlineStr">
        <is>
          <t>O</t>
        </is>
      </c>
      <c r="K32" s="531" t="n"/>
      <c r="L32" s="531" t="n"/>
      <c r="M32" s="531" t="n"/>
      <c r="N32" s="531" t="n"/>
      <c r="O32" s="531" t="n"/>
      <c r="P32" s="531" t="n"/>
      <c r="Q32" s="531" t="n"/>
      <c r="R32" s="531" t="n"/>
      <c r="S32" s="531" t="n"/>
      <c r="T32" s="532" t="n"/>
    </row>
    <row r="33" ht="13.5" customHeight="1" s="354">
      <c r="A33" s="546" t="n"/>
      <c r="B33" s="547" t="n"/>
      <c r="C33" s="550" t="n"/>
      <c r="D33" s="544" t="inlineStr">
        <is>
          <t>item folded to use box M</t>
        </is>
      </c>
      <c r="E33" s="551" t="n"/>
      <c r="F33" s="531" t="n"/>
      <c r="G33" s="531" t="n"/>
      <c r="H33" s="531" t="n"/>
      <c r="I33" s="531" t="n"/>
      <c r="J33" s="531" t="n"/>
      <c r="K33" s="531" t="inlineStr">
        <is>
          <t>O</t>
        </is>
      </c>
      <c r="L33" s="531" t="n"/>
      <c r="M33" s="531" t="n"/>
      <c r="N33" s="531" t="n"/>
      <c r="O33" s="531" t="n"/>
      <c r="P33" s="531" t="n"/>
      <c r="Q33" s="531" t="n"/>
      <c r="R33" s="531" t="n"/>
      <c r="S33" s="531" t="n"/>
      <c r="T33" s="532" t="n"/>
    </row>
    <row r="34" ht="13.5" customHeight="1" s="354">
      <c r="A34" s="546" t="n"/>
      <c r="B34" s="547" t="n"/>
      <c r="C34" s="550" t="n"/>
      <c r="D34" s="544" t="inlineStr">
        <is>
          <t>another box used</t>
        </is>
      </c>
      <c r="E34" s="551" t="n"/>
      <c r="F34" s="531" t="n"/>
      <c r="G34" s="531" t="n"/>
      <c r="H34" s="531" t="n"/>
      <c r="I34" s="531" t="n"/>
      <c r="J34" s="531" t="n"/>
      <c r="K34" s="531" t="n"/>
      <c r="L34" s="531" t="inlineStr">
        <is>
          <t>O</t>
        </is>
      </c>
      <c r="M34" s="531" t="n"/>
      <c r="N34" s="531" t="n"/>
      <c r="O34" s="531" t="n"/>
      <c r="P34" s="531" t="n"/>
      <c r="Q34" s="531" t="n"/>
      <c r="R34" s="531" t="n"/>
      <c r="S34" s="531" t="n"/>
      <c r="T34" s="532" t="n"/>
    </row>
    <row r="35" ht="13.5" customHeight="1" s="354">
      <c r="A35" s="546" t="n"/>
      <c r="B35" s="547" t="n"/>
      <c r="C35" s="550" t="n"/>
      <c r="D35" s="544" t="inlineStr">
        <is>
          <t>excluded box not used</t>
        </is>
      </c>
      <c r="E35" s="551" t="n"/>
      <c r="F35" s="531" t="n"/>
      <c r="G35" s="531" t="n"/>
      <c r="H35" s="531" t="n"/>
      <c r="I35" s="531" t="n"/>
      <c r="J35" s="531" t="n"/>
      <c r="K35" s="531" t="n"/>
      <c r="L35" s="531" t="n"/>
      <c r="M35" s="531" t="inlineStr">
        <is>
          <t>O</t>
        </is>
      </c>
      <c r="N35" s="531" t="n"/>
      <c r="O35" s="531" t="n"/>
      <c r="P35" s="531" t="n"/>
      <c r="Q35" s="531" t="n"/>
      <c r="R35" s="531" t="n"/>
      <c r="S35" s="531" t="n"/>
      <c r="T35" s="532" t="n"/>
    </row>
    <row r="36" ht="13.5" customHeight="1" s="354">
      <c r="A36" s="546" t="n"/>
      <c r="B36" s="537" t="inlineStr">
        <is>
          <t>Exception</t>
        </is>
      </c>
      <c r="C36" s="550" t="n"/>
      <c r="D36" s="544" t="n"/>
      <c r="E36" s="551" t="n"/>
      <c r="F36" s="531" t="n"/>
      <c r="G36" s="531" t="n"/>
      <c r="H36" s="531" t="n"/>
      <c r="I36" s="531" t="n"/>
      <c r="J36" s="531" t="n"/>
      <c r="K36" s="531" t="n"/>
      <c r="L36" s="531" t="n"/>
      <c r="M36" s="531" t="n"/>
      <c r="N36" s="531" t="n"/>
      <c r="O36" s="531" t="n"/>
      <c r="P36" s="531" t="n"/>
      <c r="Q36" s="531" t="n"/>
      <c r="R36" s="531" t="n"/>
      <c r="S36" s="531" t="n"/>
      <c r="T36" s="532" t="n"/>
    </row>
    <row r="37" ht="13.5" customHeight="1" s="354">
      <c r="A37" s="546" t="n"/>
      <c r="B37" s="547" t="n"/>
      <c r="C37" s="550" t="n"/>
      <c r="D37" s="544" t="inlineStr">
        <is>
          <t>OUT_OF_STOCK</t>
        </is>
      </c>
      <c r="E37" s="551" t="n"/>
      <c r="F37" s="531" t="n"/>
      <c r="G37" s="531" t="n"/>
      <c r="H37" s="531" t="n"/>
      <c r="I37" s="531" t="n"/>
      <c r="J37" s="531" t="n"/>
      <c r="K37" s="531" t="n"/>
      <c r="L37" s="531" t="n"/>
      <c r="M37" s="531" t="n"/>
      <c r="N37" s="531" t="inlineStr">
        <is>
          <t>O</t>
        </is>
      </c>
      <c r="O37" s="531" t="n"/>
      <c r="P37" s="531" t="n"/>
      <c r="Q37" s="531" t="n"/>
      <c r="R37" s="531" t="n"/>
      <c r="S37" s="531" t="n"/>
      <c r="T37" s="532" t="n"/>
    </row>
    <row r="38" ht="13.5" customHeight="1" s="354">
      <c r="A38" s="546" t="n"/>
      <c r="B38" s="552" t="n"/>
      <c r="C38" s="553" t="n"/>
      <c r="D38" s="544" t="inlineStr">
        <is>
          <t>ITEM_TOO_LARGE / ITEM_TOO_HEAVY</t>
        </is>
      </c>
      <c r="E38" s="554" t="n"/>
      <c r="F38" s="531" t="n"/>
      <c r="G38" s="531" t="n"/>
      <c r="H38" s="531" t="n"/>
      <c r="I38" s="531" t="n"/>
      <c r="J38" s="531" t="n"/>
      <c r="K38" s="531" t="n"/>
      <c r="L38" s="531" t="n"/>
      <c r="M38" s="531" t="n"/>
      <c r="N38" s="531" t="n"/>
      <c r="O38" s="531" t="inlineStr">
        <is>
          <t>O</t>
        </is>
      </c>
      <c r="P38" s="555" t="n"/>
      <c r="Q38" s="555" t="n"/>
      <c r="R38" s="555" t="n"/>
      <c r="S38" s="555" t="n"/>
      <c r="T38" s="556" t="n"/>
    </row>
    <row r="39" ht="13.5" customHeight="1" s="354">
      <c r="A39" s="536" t="n"/>
      <c r="B39" s="537" t="inlineStr">
        <is>
          <t>Log message</t>
        </is>
      </c>
      <c r="E39" s="557" t="n"/>
      <c r="F39" s="558" t="n"/>
      <c r="G39" s="558" t="n"/>
      <c r="H39" s="558" t="n"/>
      <c r="I39" s="558" t="n"/>
      <c r="J39" s="558" t="n"/>
      <c r="K39" s="558" t="n"/>
      <c r="L39" s="558" t="n"/>
      <c r="M39" s="558" t="n"/>
      <c r="N39" s="558" t="n"/>
      <c r="O39" s="558" t="n"/>
      <c r="P39" s="558" t="n"/>
      <c r="Q39" s="558" t="n"/>
      <c r="R39" s="558" t="n"/>
      <c r="S39" s="558" t="n"/>
      <c r="T39" s="559" t="n"/>
    </row>
    <row r="40" ht="13.5" customHeight="1" s="354">
      <c r="A40" s="546" t="n"/>
      <c r="B40" s="560" t="n"/>
      <c r="D40" s="544" t="inlineStr">
        <is>
          <t>Test name in solver.spec.ts (line)</t>
        </is>
      </c>
      <c r="E40" s="561" t="n"/>
      <c r="F40" s="531" t="inlineStr">
        <is>
          <t>line 41</t>
        </is>
      </c>
      <c r="G40" s="531" t="inlineStr">
        <is>
          <t>line 58</t>
        </is>
      </c>
      <c r="H40" s="531" t="inlineStr">
        <is>
          <t>line 67</t>
        </is>
      </c>
      <c r="I40" s="531" t="inlineStr">
        <is>
          <t>line 67</t>
        </is>
      </c>
      <c r="J40" s="531" t="inlineStr">
        <is>
          <t>line 79</t>
        </is>
      </c>
      <c r="K40" s="531" t="inlineStr">
        <is>
          <t>line 110</t>
        </is>
      </c>
      <c r="L40" s="531" t="inlineStr">
        <is>
          <t>line 125</t>
        </is>
      </c>
      <c r="M40" s="531" t="inlineStr">
        <is>
          <t>line 133</t>
        </is>
      </c>
      <c r="N40" s="531" t="inlineStr">
        <is>
          <t>line 138</t>
        </is>
      </c>
      <c r="O40" s="531" t="inlineStr">
        <is>
          <t>line 146</t>
        </is>
      </c>
      <c r="P40" s="562" t="n"/>
      <c r="Q40" s="562" t="n"/>
      <c r="R40" s="562" t="n"/>
      <c r="S40" s="562" t="n"/>
      <c r="T40" s="563" t="n"/>
    </row>
    <row r="41" ht="13.5" customHeight="1" s="354">
      <c r="A41" s="536" t="inlineStr">
        <is>
          <t>Result</t>
        </is>
      </c>
      <c r="B41" s="557" t="inlineStr">
        <is>
          <t>Type(N : Normal, A : Abnormal, B : Boundary)</t>
        </is>
      </c>
      <c r="E41" s="564" t="n"/>
      <c r="F41" s="558" t="inlineStr">
        <is>
          <t>N</t>
        </is>
      </c>
      <c r="G41" s="558" t="inlineStr">
        <is>
          <t>N</t>
        </is>
      </c>
      <c r="H41" s="558" t="inlineStr">
        <is>
          <t>B</t>
        </is>
      </c>
      <c r="I41" s="558" t="inlineStr">
        <is>
          <t>B</t>
        </is>
      </c>
      <c r="J41" s="558" t="inlineStr">
        <is>
          <t>N</t>
        </is>
      </c>
      <c r="K41" s="558" t="inlineStr">
        <is>
          <t>B</t>
        </is>
      </c>
      <c r="L41" s="558" t="inlineStr">
        <is>
          <t>A</t>
        </is>
      </c>
      <c r="M41" s="558" t="inlineStr">
        <is>
          <t>A</t>
        </is>
      </c>
      <c r="N41" s="558" t="inlineStr">
        <is>
          <t>A</t>
        </is>
      </c>
      <c r="O41" s="558" t="inlineStr">
        <is>
          <t>A</t>
        </is>
      </c>
      <c r="P41" s="565" t="n"/>
      <c r="Q41" s="565" t="n"/>
      <c r="R41" s="565" t="n"/>
      <c r="S41" s="565" t="n"/>
      <c r="T41" s="566" t="n"/>
    </row>
    <row r="42" ht="80" customHeight="1" s="354">
      <c r="A42" s="567" t="n"/>
      <c r="B42" s="557" t="inlineStr">
        <is>
          <t>Passed/Failed</t>
        </is>
      </c>
      <c r="E42" s="568" t="n"/>
      <c r="F42" s="562" t="inlineStr">
        <is>
          <t>P</t>
        </is>
      </c>
      <c r="G42" s="562" t="inlineStr">
        <is>
          <t>P</t>
        </is>
      </c>
      <c r="H42" s="562" t="inlineStr">
        <is>
          <t>P</t>
        </is>
      </c>
      <c r="I42" s="562" t="inlineStr">
        <is>
          <t>P</t>
        </is>
      </c>
      <c r="J42" s="562" t="inlineStr">
        <is>
          <t>P</t>
        </is>
      </c>
      <c r="K42" s="562" t="inlineStr">
        <is>
          <t>P</t>
        </is>
      </c>
      <c r="L42" s="562" t="inlineStr">
        <is>
          <t>P</t>
        </is>
      </c>
      <c r="M42" s="562" t="inlineStr">
        <is>
          <t>P</t>
        </is>
      </c>
      <c r="N42" s="562" t="inlineStr">
        <is>
          <t>P</t>
        </is>
      </c>
      <c r="O42" s="562" t="inlineStr">
        <is>
          <t>P</t>
        </is>
      </c>
      <c r="P42" s="569" t="n"/>
      <c r="Q42" s="569" t="n"/>
      <c r="R42" s="569" t="n"/>
      <c r="S42" s="569" t="n"/>
      <c r="T42" s="570" t="n"/>
    </row>
    <row r="43" ht="12" customHeight="1" s="354">
      <c r="A43" s="571" t="n"/>
      <c r="B43" s="557" t="inlineStr">
        <is>
          <t>Executed Date</t>
        </is>
      </c>
      <c r="F43" s="531" t="inlineStr">
        <is>
          <t>25/10/2026</t>
        </is>
      </c>
      <c r="G43" s="531" t="inlineStr">
        <is>
          <t>25/10/2026</t>
        </is>
      </c>
      <c r="H43" s="531" t="inlineStr">
        <is>
          <t>25/10/2026</t>
        </is>
      </c>
      <c r="I43" s="531" t="inlineStr">
        <is>
          <t>25/10/2026</t>
        </is>
      </c>
      <c r="J43" s="531" t="inlineStr">
        <is>
          <t>25/10/2026</t>
        </is>
      </c>
      <c r="K43" s="531" t="inlineStr">
        <is>
          <t>25/10/2026</t>
        </is>
      </c>
      <c r="L43" s="531" t="inlineStr">
        <is>
          <t>25/10/2026</t>
        </is>
      </c>
      <c r="M43" s="531" t="inlineStr">
        <is>
          <t>25/10/2026</t>
        </is>
      </c>
      <c r="N43" s="531" t="inlineStr">
        <is>
          <t>25/10/2026</t>
        </is>
      </c>
      <c r="O43" s="531" t="inlineStr">
        <is>
          <t>25/10/2026</t>
        </is>
      </c>
    </row>
  </sheetData>
  <mergeCells count="23">
    <mergeCell ref="F2:K2"/>
    <mergeCell ref="A6:B6"/>
    <mergeCell ref="C4:D4"/>
    <mergeCell ref="C2:E2"/>
    <mergeCell ref="L4:T4"/>
    <mergeCell ref="A7:B7"/>
    <mergeCell ref="C7:E7"/>
    <mergeCell ref="L6:N6"/>
    <mergeCell ref="A3:B3"/>
    <mergeCell ref="A2:B2"/>
    <mergeCell ref="A5:B5"/>
    <mergeCell ref="C3:E3"/>
    <mergeCell ref="O7:T7"/>
    <mergeCell ref="F4:K4"/>
    <mergeCell ref="C6:E6"/>
    <mergeCell ref="A4:B4"/>
    <mergeCell ref="L2:T2"/>
    <mergeCell ref="O6:T6"/>
    <mergeCell ref="F6:K6"/>
    <mergeCell ref="C5:T5"/>
    <mergeCell ref="F7:K7"/>
    <mergeCell ref="L3:N3"/>
    <mergeCell ref="F3:K3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Nguyen Hoang Anh</dc:creator>
  <dc:language xmlns:dc="http://purl.org/dc/elements/1.1/">en-US</dc:language>
  <dcterms:created xmlns:dcterms="http://purl.org/dc/terms/" xmlns:xsi="http://www.w3.org/2001/XMLSchema-instance" xsi:type="dcterms:W3CDTF">2007-10-09T16:39:48Z</dcterms:created>
  <dcterms:modified xmlns:dcterms="http://purl.org/dc/terms/" xmlns:xsi="http://www.w3.org/2001/XMLSchema-instance" xsi:type="dcterms:W3CDTF">2026-10-25T16:40:07Z</dcterms:modified>
  <cp:lastModifiedBy>KienNT</cp:lastModifiedBy>
  <cp:revision>0</cp:revision>
  <cp:lastPrinted>2008-03-12T11:05:49Z</cp:lastPrinted>
</cp:coreProperties>
</file>